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Already Owned" sheetId="2" state="visible" r:id="rId4"/>
    <sheet name="Compatibility Notes" sheetId="3" state="visible" r:id="rId5"/>
  </sheets>
  <definedNames>
    <definedName function="false" hidden="true" localSheetId="0" name="_xlnm._FilterDatabase" vbProcedure="false">'Shopping List'!$A$1:$R$12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<sst xmlns="http://schemas.openxmlformats.org/spreadsheetml/2006/main" count="184" uniqueCount="150">
  <si>
    <t xml:space="preserve">#</t>
  </si>
  <si>
    <t xml:space="preserve">Category</t>
  </si>
  <si>
    <t xml:space="preserve">Item (Top Pick)</t>
  </si>
  <si>
    <t xml:space="preserve">Qty</t>
  </si>
  <si>
    <t xml:space="preserve">Unit Price ($)</t>
  </si>
  <si>
    <t xml:space="preserve">Line Total ($)</t>
  </si>
  <si>
    <t xml:space="preserve">Seller</t>
  </si>
  <si>
    <t xml:space="preserve">Prime?</t>
  </si>
  <si>
    <t xml:space="preserve">Purchase URL</t>
  </si>
  <si>
    <t xml:space="preserve">Key Specs</t>
  </si>
  <si>
    <t xml:space="preserve">Pi 5 Compatible?</t>
  </si>
  <si>
    <t xml:space="preserve">Alt Item (Budget/Backup)</t>
  </si>
  <si>
    <t xml:space="preserve">Alt Price ($)</t>
  </si>
  <si>
    <t xml:space="preserve">Alt URL</t>
  </si>
  <si>
    <t xml:space="preserve">Why This Pick</t>
  </si>
  <si>
    <t xml:space="preserve">Warnings / Watch-Outs</t>
  </si>
  <si>
    <t xml:space="preserve">Ordered?</t>
  </si>
  <si>
    <t xml:space="preserve">Arrived?</t>
  </si>
  <si>
    <t xml:space="preserve">Plush / Puppet Body</t>
  </si>
  <si>
    <t xml:space="preserve">Jay Franco Sesame Street Big Bird Fuzzy Pillow Buddy</t>
  </si>
  <si>
    <t xml:space="preserve">Target</t>
  </si>
  <si>
    <t xml:space="preserve">No</t>
  </si>
  <si>
    <t xml:space="preserve">https://www.target.com/p/jay-franco-sesame-street-big-bird-fuzzy-pillow-buddy/-/A-93968164</t>
  </si>
  <si>
    <t xml:space="preserve">22" tall, 100% polyester microfiber, pillow-style body, uniform soft fill (no beads), easy to cut open along seam</t>
  </si>
  <si>
    <t xml:space="preserve">N/A</t>
  </si>
  <si>
    <t xml:space="preserve">Same item on Amazon (search Jay Franco Big Bird Pillow Buddy)</t>
  </si>
  <si>
    <t xml:space="preserve">https://www.amazon.com/s?k=Jay+Franco+Big+Bird+Pillow+Buddy</t>
  </si>
  <si>
    <t xml:space="preserve">Cheapest large Big Bird plush available; flat pillow shape is ideal for hiding hardware inside; no weighted beads to remove</t>
  </si>
  <si>
    <t xml:space="preserve">22" is 2" short of the 2ft spec — no 24"+ option exists in the $20-60 range. AVOID the weighted version (B0DJC7WLXW) which has 2.5 lbs of beads inside.</t>
  </si>
  <si>
    <t xml:space="preserve">HDMI Display</t>
  </si>
  <si>
    <t xml:space="preserve">GeeekPi 7" 1024x600 IPS Non-Touch Display</t>
  </si>
  <si>
    <t xml:space="preserve">Amazon</t>
  </si>
  <si>
    <t xml:space="preserve">Yes</t>
  </si>
  <si>
    <t xml:space="preserve">https://www.amazon.com/GeeekPi-Raspberry-1024x600-Display-Portable/dp/B0CHRD7CQ3</t>
  </si>
  <si>
    <t xml:space="preserve">7" IPS, 1024x600, 178° viewing angles, USB-C powered, includes micro-HDMI adapter + HDMI cable + USB power cable + 2 stands</t>
  </si>
  <si>
    <t xml:space="preserve">HMTECH 7" 800x480 IPS Non-Touch</t>
  </si>
  <si>
    <t xml:space="preserve">https://www.amazon.com/HMTECH-Raspberry-Pi-Monitor-Non-Touch/dp/B09MFNLRQQ</t>
  </si>
  <si>
    <t xml:space="preserve">Best value: IPS panel, 1024x600, Pi 5 confirmed, bundled cables/stands eliminate extra purchases</t>
  </si>
  <si>
    <t xml:space="preserve">Bundled micro-HDMI adapter may make separate cable (Item 5) optional. HMTECH alt is lower res (800x480) and does NOT include micro-HDMI adapter.</t>
  </si>
  <si>
    <t xml:space="preserve">Arcade Button</t>
  </si>
  <si>
    <t xml:space="preserve">EG STARTS 100mm Big Dome Convex LED Push Button — Red</t>
  </si>
  <si>
    <t xml:space="preserve">https://www.amazon.com/EG-STARTS-Buttons-Illuminated-Machine/dp/B01LZMANZ7</t>
  </si>
  <si>
    <t xml:space="preserve">100mm (4") dome, momentary/auto-reset, NO microswitch, 4.8mm crimp terminals, 12V LED backlight, includes nut/gasket/bracket, needs 88mm mounting hole</t>
  </si>
  <si>
    <t xml:space="preserve">Yes (GPIO)</t>
  </si>
  <si>
    <t xml:space="preserve">Easyget 5V 100mm LED Dome Button — Red (LED runs on 5V, can power from Pi GPIO directly)</t>
  </si>
  <si>
    <t xml:space="preserve">https://www.amazon.com/Easyget-Shaped-Illuminated-Self-resetting-Projects/dp/B00XRC9URW</t>
  </si>
  <si>
    <t xml:space="preserve">Dominant arcade button brand on Amazon; 100mm is the ideal 4" size; LED is a bonus; includes all mounting hardware</t>
  </si>
  <si>
    <t xml:space="preserve">LED is 12V — needs separate 12V supply or skip the LED. Alt (Easyget 5V) avoids this by running LED at 5V from Pi. Price is PER UNIT, buying 2 (1 use + 1 backup).</t>
  </si>
  <si>
    <t xml:space="preserve">Speaker</t>
  </si>
  <si>
    <t xml:space="preserve">Milcraft Mini Speaker with 3.5mm Aux Input</t>
  </si>
  <si>
    <t xml:space="preserve">https://www.amazon.com/I-VOM-Wireless-Portable-Cellphone-Rechargeable/dp/B07KQ44VGQ</t>
  </si>
  <si>
    <t xml:space="preserve">1.8" x 1.8" x 1.3", 3W driver, 3.5mm aux input (direct wired — no Bluetooth needed), USB rechargeable, 10+ hr battery</t>
  </si>
  <si>
    <t xml:space="preserve">EAVO Mini 3W Speaker with 3.5mm Aux</t>
  </si>
  <si>
    <t xml:space="preserve">https://www.amazon.com/Portable-Speakers-EAVO-Microphone-Computer/dp/B0919C3LBZ</t>
  </si>
  <si>
    <t xml:space="preserve">Tiny form factor fits inside puppet; direct 3.5mm input means no drivers or pairing; 10hr battery runs all day untethered</t>
  </si>
  <si>
    <t xml:space="preserve">Test volume in the actual gallery space — 3W may be marginal in noisy environments. If too quiet, consider a USB-powered desktop speaker as backup.</t>
  </si>
  <si>
    <t xml:space="preserve">Cable: HDMI</t>
  </si>
  <si>
    <t xml:space="preserve">Cable Matters Micro HDMI to HDMI Cable — 3 ft</t>
  </si>
  <si>
    <t xml:space="preserve">https://www.amazon.com/Cable-Matters-High-Speed-Micro/dp/B0DMG4XMLG</t>
  </si>
  <si>
    <t xml:space="preserve">Type D micro-HDMI to Type A HDMI, HDMI 2.0, 4K@60Hz, 3 ft length</t>
  </si>
  <si>
    <t xml:space="preserve">Cable Matters 2-Pack Micro HDMI to HDMI — 3 ft</t>
  </si>
  <si>
    <t xml:space="preserve">https://www.amazon.com/Cable-Matters-2-Pack-Speed-Resolution/dp/B00DRMV10Q</t>
  </si>
  <si>
    <t xml:space="preserve">Reliable US brand, perfect 3ft length, explicitly lists Pi 5 compatibility</t>
  </si>
  <si>
    <t xml:space="preserve">May be OPTIONAL if you buy the GeeekPi display (Item 2), which bundles a micro-HDMI adapter. A dedicated cable is cleaner than adapter + cable though.</t>
  </si>
  <si>
    <t xml:space="preserve">Cable: Jumper Wires</t>
  </si>
  <si>
    <t xml:space="preserve">ELEGOO 120pc Multicolored Dupont Wire Kit</t>
  </si>
  <si>
    <t xml:space="preserve">https://www.amazon.com/Elegoo-EL-CP-004-Multicolored-Breadboard-arduino/dp/B01EV70C78</t>
  </si>
  <si>
    <t xml:space="preserve">40x F-to-F + 40x M-to-M + 40x M-to-F, all 20cm, 2.54mm Dupont connectors, color-coded, individually separable</t>
  </si>
  <si>
    <t xml:space="preserve">N/A — this is the standard kit</t>
  </si>
  <si>
    <t xml:space="preserve">Best-selling jumper kit on Amazon (14k+ ratings); 40 F-to-F wires at 20cm is exactly right for button-to-GPIO; bonus M-to-M and M-to-F wires included</t>
  </si>
  <si>
    <t xml:space="preserve">20cm (8") may be tight depending on puppet size and button placement. If routing distance is &gt;30cm, buy 30cm jumper wires separately or splice extensions.</t>
  </si>
  <si>
    <t xml:space="preserve">Cable: Audio</t>
  </si>
  <si>
    <t xml:space="preserve">CableCreation 3.5mm Aux Cable — 1.5 ft</t>
  </si>
  <si>
    <t xml:space="preserve">https://www.amazon.com/CableCreation-Auxiliary-Compatible-Headphones-iPhones/dp/B01K3WX4FW</t>
  </si>
  <si>
    <t xml:space="preserve">Male-to-male 3.5mm TRS, braided nylon jacket, double-shielded, 24K gold-plated, 1.5 ft</t>
  </si>
  <si>
    <t xml:space="preserve">FosPower 1 ft Aux Cable</t>
  </si>
  <si>
    <t xml:space="preserve">https://www.amazon.com/FosPower-Stereo-Auxiliary-iPhone-Samsung/dp/B0100NK0VU</t>
  </si>
  <si>
    <t xml:space="preserve">Perfect short length for Pi headphone jack to speaker inside puppet; braided jacket is durable</t>
  </si>
  <si>
    <t xml:space="preserve">Only needed if speaker uses 3.5mm input (the Milcraft speaker does). If you switch to a USB-audio speaker, skip this cable.</t>
  </si>
  <si>
    <t xml:space="preserve">Cable: Camera Ribbon</t>
  </si>
  <si>
    <t xml:space="preserve">Official Pi 5 FPC Camera Cable — 500mm (Adafruit #5820)</t>
  </si>
  <si>
    <t xml:space="preserve">Adafruit</t>
  </si>
  <si>
    <t xml:space="preserve">https://www.adafruit.com/product/5820</t>
  </si>
  <si>
    <t xml:space="preserve">22-pin 0.5mm (Pi 5 end) to 15-pin 1.0mm (camera end), 500mm length, official Raspberry Pi Foundation cable</t>
  </si>
  <si>
    <t xml:space="preserve">Yes (critical)</t>
  </si>
  <si>
    <t xml:space="preserve">Waveshare CSI FPC Cable for Pi 5 — 300mm (Amazon, Prime)</t>
  </si>
  <si>
    <t xml:space="preserve">https://www.amazon.com/waveshare-CSI-Cable-Pi5-Camera/dp/B0CX1SFD44</t>
  </si>
  <si>
    <t xml:space="preserve">Official Pi Foundation cable, cheapest option ($2.50), 500mm gives plenty of routing room inside puppet from body to eye socket</t>
  </si>
  <si>
    <t xml:space="preserve">CRITICAL: Pi 5 uses 22-pin FPC, NOT old 15-pin. Do NOT buy old-style 15-pin cables. Adafruit ships from NY (not Prime) — consider bundling with 300mm version (#5819, $3.16) to justify shipping, or use Amazon Waveshare alt instead.</t>
  </si>
  <si>
    <t xml:space="preserve">Cable: USB-C Adapter</t>
  </si>
  <si>
    <t xml:space="preserve">90° USB-C Male to Female Adapter (3-Pack)</t>
  </si>
  <si>
    <t xml:space="preserve">https://www.amazon.com/Adapter-Degree-Type-C-Support-Transfer/dp/B08TZY4MSR</t>
  </si>
  <si>
    <t xml:space="preserve">L-shaped USB-C M-to-F, 100W PD charging, 10Gb/s data, 3-pack, low-profile</t>
  </si>
  <si>
    <t xml:space="preserve">N/A — 3-pack already includes spares</t>
  </si>
  <si>
    <t xml:space="preserve">Redirects Pi 5 power cable 90° for clean routing out of puppet; 100W PD is more than enough; 3-pack gives spares</t>
  </si>
  <si>
    <t xml:space="preserve">Optional but recommended. Without this, the power cable sticks straight out and may stress the Pi's USB-C port inside the puppet.</t>
  </si>
  <si>
    <t xml:space="preserve">Button Mount</t>
  </si>
  <si>
    <t xml:space="preserve">VIKOS Unfinished Pine Wood Box with Hinged Lid — 6.7" x 5.1" x 3.1"</t>
  </si>
  <si>
    <t xml:space="preserve">https://www.amazon.com/VIKOS-Products-Unfinished-Unpainted-Storage/dp/B09HGQBNHZ</t>
  </si>
  <si>
    <t xml:space="preserve">Solid pine, 6.7" x 5.1" top (fits 88mm button hole), 3.1" deep, hinged lid, unfinished/paintable</t>
  </si>
  <si>
    <t xml:space="preserve">ABS Plastic Project Enclosure — 8.82" x 5.47" x 3.62"</t>
  </si>
  <si>
    <t xml:space="preserve">https://www.amazon.com/Plastic-Enclosure-EX-ELECTRONIX-EXPRESS/dp/B094NWJ7W5</t>
  </si>
  <si>
    <t xml:space="preserve">Hinged lid lets you drill button hole in lid and access wiring inside; pine is easy to drill with hole saw; paintable for aesthetics</t>
  </si>
  <si>
    <t xml:space="preserve">Need a 88mm (3.5") hole saw or Forstner bit to cut the button hole. Verify you have the right drill bit before ordering.</t>
  </si>
  <si>
    <t xml:space="preserve">Power Strip</t>
  </si>
  <si>
    <t xml:space="preserve">Amazon Basics 6-Outlet Surge Protector — 6 ft Cord</t>
  </si>
  <si>
    <t xml:space="preserve">https://www.amazon.com/Amazon-Basics-Protector-Extension-Protection/dp/B00TP1C51M</t>
  </si>
  <si>
    <t xml:space="preserve">6 outlets, 6 ft cord, 790J surge protection, 15A circuit breaker, LED indicator</t>
  </si>
  <si>
    <t xml:space="preserve">Yintar 6-Outlet + 3 USB Ports Surge Protector</t>
  </si>
  <si>
    <t xml:space="preserve">https://www.amazon.com/Yintar-Protector-Outlets-Extension-Essentials/dp/B08MTBCXWX</t>
  </si>
  <si>
    <t xml:space="preserve">Best-selling basic power strip on Amazon; cheap, reliable, more outlets and cord than needed</t>
  </si>
  <si>
    <t xml:space="preserve">If the venue already provides a power strip, skip this entirely. Ask venue coordinator first.</t>
  </si>
  <si>
    <t xml:space="preserve">TOTALS</t>
  </si>
  <si>
    <t xml:space="preserve">Budget</t>
  </si>
  <si>
    <t xml:space="preserve">Remaining</t>
  </si>
  <si>
    <t xml:space="preserve">Item</t>
  </si>
  <si>
    <t xml:space="preserve">Notes</t>
  </si>
  <si>
    <t xml:space="preserve">Raspberry Pi 5 (8GB)</t>
  </si>
  <si>
    <t xml:space="preserve">Main compute board</t>
  </si>
  <si>
    <t xml:space="preserve">Raspberry Pi Camera Module 3</t>
  </si>
  <si>
    <t xml:space="preserve">Mounts in puppet eye socket</t>
  </si>
  <si>
    <t xml:space="preserve">Raspberry Pi Active Cooler</t>
  </si>
  <si>
    <t xml:space="preserve">Prevents thermal throttling inside enclosed puppet</t>
  </si>
  <si>
    <t xml:space="preserve">Raspberry Pi 27W USB-C Power Supply</t>
  </si>
  <si>
    <t xml:space="preserve">Powers the Pi</t>
  </si>
  <si>
    <t xml:space="preserve">32GB microSD Card (Class A2)</t>
  </si>
  <si>
    <t xml:space="preserve">OS + application storage</t>
  </si>
  <si>
    <t xml:space="preserve">Laptop (MacBook Pro)</t>
  </si>
  <si>
    <t xml:space="preserve">For initial Pi setup and development</t>
  </si>
  <si>
    <t xml:space="preserve">Keyboard and mouse</t>
  </si>
  <si>
    <t xml:space="preserve">For Pi setup</t>
  </si>
  <si>
    <t xml:space="preserve">Component</t>
  </si>
  <si>
    <t xml:space="preserve">Compatibility Concern</t>
  </si>
  <si>
    <t xml:space="preserve">Verified?</t>
  </si>
  <si>
    <t xml:space="preserve">Details</t>
  </si>
  <si>
    <t xml:space="preserve">Pi 5 micro-HDMI output</t>
  </si>
  <si>
    <t xml:space="preserve">GeeekPi display explicitly lists Pi 5 in product title and description. Includes micro-HDMI adapter in box.</t>
  </si>
  <si>
    <t xml:space="preserve">Camera Ribbon Cable</t>
  </si>
  <si>
    <t xml:space="preserve">Pi 5 uses 22-pin FPC (not old 15-pin)</t>
  </si>
  <si>
    <t xml:space="preserve">Adafruit #5819/#5820 are official Pi Foundation cables designed for Pi 5. 22-pin 0.5mm on Pi end, 15-pin 1.0mm on camera end.</t>
  </si>
  <si>
    <t xml:space="preserve">GPIO wiring to Pi 5</t>
  </si>
  <si>
    <t xml:space="preserve">Simple NO momentary switch — just two wires to GPIO pin + GND. Works with any Pi model. LED is separate circuit (12V or 5V depending on model).</t>
  </si>
  <si>
    <t xml:space="preserve">Pi 5 audio output</t>
  </si>
  <si>
    <t xml:space="preserve">Pi 5 has 3.5mm headphone jack. Milcraft speaker connects via standard 3.5mm aux cable. No drivers needed.</t>
  </si>
  <si>
    <t xml:space="preserve">USB-C Adapter</t>
  </si>
  <si>
    <t xml:space="preserve">PD charging compatibility</t>
  </si>
  <si>
    <t xml:space="preserve">Adapter supports 100W PD. Pi 5 PSU is 27W. No power delivery issues.</t>
  </si>
  <si>
    <t xml:space="preserve">Jumper Wires</t>
  </si>
  <si>
    <t xml:space="preserve">Pi 5 GPIO header</t>
  </si>
  <si>
    <t xml:space="preserve">Standard 2.54mm Dupont connectors fit all Pi models including Pi 5. 40-pin header is unchanged from Pi 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</si>
</sst>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52"/>
    <col collapsed="false" customWidth="true" hidden="false" outlineLevel="0" max="10" min="10" style="0" width="42"/>
    <col collapsed="false" customWidth="true" hidden="false" outlineLevel="0" max="11" min="11" style="0" width="14"/>
    <col collapsed="false" customWidth="true" hidden="false" outlineLevel="0" max="12" min="12" style="0" width="38"/>
    <col collapsed="false" customWidth="true" hidden="false" outlineLevel="0" max="13" min="13" style="0" width="12"/>
    <col collapsed="false" customWidth="true" hidden="false" outlineLevel="0" max="14" min="14" style="0" width="52"/>
    <col collapsed="false" customWidth="true" hidden="false" outlineLevel="0" max="16" min="15" style="0" width="42"/>
    <col collapsed="false" customWidth="true" hidden="false" outlineLevel="0" max="18" min="1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64.5" hidden="false" customHeight="true" outlineLevel="0" collapsed="false">
      <c r="A2" s="2" t="n">
        <v>1</v>
      </c>
      <c r="B2" s="3" t="s">
        <v>18</v>
      </c>
      <c r="C2" s="3" t="s">
        <v>19</v>
      </c>
      <c r="D2" s="2" t="n">
        <v>1</v>
      </c>
      <c r="E2" s="4" t="n">
        <v>29</v>
      </c>
      <c r="F2" s="5" t="n">
        <f aca="false">D2*E2</f>
        <v>29</v>
      </c>
      <c r="G2" s="3" t="s">
        <v>20</v>
      </c>
      <c r="H2" s="2" t="s">
        <v>21</v>
      </c>
      <c r="I2" s="3" t="s">
        <v>22</v>
      </c>
      <c r="J2" s="3" t="s">
        <v>23</v>
      </c>
      <c r="K2" s="2" t="s">
        <v>24</v>
      </c>
      <c r="L2" s="3" t="s">
        <v>25</v>
      </c>
      <c r="M2" s="4" t="n">
        <v>32</v>
      </c>
      <c r="N2" s="3" t="s">
        <v>26</v>
      </c>
      <c r="O2" s="3" t="s">
        <v>27</v>
      </c>
      <c r="P2" s="3" t="s">
        <v>28</v>
      </c>
      <c r="Q2" s="2"/>
      <c r="R2" s="2"/>
    </row>
    <row r="3" customFormat="false" ht="64.5" hidden="false" customHeight="true" outlineLevel="0" collapsed="false">
      <c r="A3" s="6" t="n">
        <v>2</v>
      </c>
      <c r="B3" s="7" t="s">
        <v>29</v>
      </c>
      <c r="C3" s="7" t="s">
        <v>30</v>
      </c>
      <c r="D3" s="6" t="n">
        <v>1</v>
      </c>
      <c r="E3" s="8" t="n">
        <v>35</v>
      </c>
      <c r="F3" s="9" t="n">
        <f aca="false">D3*E3</f>
        <v>35</v>
      </c>
      <c r="G3" s="7" t="s">
        <v>31</v>
      </c>
      <c r="H3" s="6" t="s">
        <v>32</v>
      </c>
      <c r="I3" s="7" t="s">
        <v>33</v>
      </c>
      <c r="J3" s="7" t="s">
        <v>34</v>
      </c>
      <c r="K3" s="6" t="s">
        <v>32</v>
      </c>
      <c r="L3" s="7" t="s">
        <v>35</v>
      </c>
      <c r="M3" s="8" t="n">
        <v>28</v>
      </c>
      <c r="N3" s="7" t="s">
        <v>36</v>
      </c>
      <c r="O3" s="7" t="s">
        <v>37</v>
      </c>
      <c r="P3" s="7" t="s">
        <v>38</v>
      </c>
      <c r="Q3" s="6"/>
      <c r="R3" s="6"/>
    </row>
    <row r="4" customFormat="false" ht="64.5" hidden="false" customHeight="true" outlineLevel="0" collapsed="false">
      <c r="A4" s="2" t="n">
        <v>3</v>
      </c>
      <c r="B4" s="3" t="s">
        <v>39</v>
      </c>
      <c r="C4" s="3" t="s">
        <v>40</v>
      </c>
      <c r="D4" s="2" t="n">
        <v>2</v>
      </c>
      <c r="E4" s="4" t="n">
        <v>8.5</v>
      </c>
      <c r="F4" s="5" t="n">
        <f aca="false">D4*E4</f>
        <v>17</v>
      </c>
      <c r="G4" s="3" t="s">
        <v>31</v>
      </c>
      <c r="H4" s="2" t="s">
        <v>32</v>
      </c>
      <c r="I4" s="3" t="s">
        <v>41</v>
      </c>
      <c r="J4" s="3" t="s">
        <v>42</v>
      </c>
      <c r="K4" s="2" t="s">
        <v>43</v>
      </c>
      <c r="L4" s="3" t="s">
        <v>44</v>
      </c>
      <c r="M4" s="4" t="n">
        <v>10</v>
      </c>
      <c r="N4" s="3" t="s">
        <v>45</v>
      </c>
      <c r="O4" s="3" t="s">
        <v>46</v>
      </c>
      <c r="P4" s="3" t="s">
        <v>47</v>
      </c>
      <c r="Q4" s="2"/>
      <c r="R4" s="2"/>
    </row>
    <row r="5" customFormat="false" ht="64.5" hidden="false" customHeight="true" outlineLevel="0" collapsed="false">
      <c r="A5" s="6" t="n">
        <v>4</v>
      </c>
      <c r="B5" s="7" t="s">
        <v>48</v>
      </c>
      <c r="C5" s="7" t="s">
        <v>49</v>
      </c>
      <c r="D5" s="6" t="n">
        <v>1</v>
      </c>
      <c r="E5" s="8" t="n">
        <v>12</v>
      </c>
      <c r="F5" s="9" t="n">
        <f aca="false">D5*E5</f>
        <v>12</v>
      </c>
      <c r="G5" s="7" t="s">
        <v>31</v>
      </c>
      <c r="H5" s="6" t="s">
        <v>32</v>
      </c>
      <c r="I5" s="7" t="s">
        <v>50</v>
      </c>
      <c r="J5" s="7" t="s">
        <v>51</v>
      </c>
      <c r="K5" s="6" t="s">
        <v>32</v>
      </c>
      <c r="L5" s="7" t="s">
        <v>52</v>
      </c>
      <c r="M5" s="8" t="n">
        <v>8</v>
      </c>
      <c r="N5" s="7" t="s">
        <v>53</v>
      </c>
      <c r="O5" s="7" t="s">
        <v>54</v>
      </c>
      <c r="P5" s="7" t="s">
        <v>55</v>
      </c>
      <c r="Q5" s="6"/>
      <c r="R5" s="6"/>
    </row>
    <row r="6" customFormat="false" ht="64.5" hidden="false" customHeight="true" outlineLevel="0" collapsed="false">
      <c r="A6" s="2" t="n">
        <v>5</v>
      </c>
      <c r="B6" s="3" t="s">
        <v>56</v>
      </c>
      <c r="C6" s="3" t="s">
        <v>57</v>
      </c>
      <c r="D6" s="2" t="n">
        <v>1</v>
      </c>
      <c r="E6" s="4" t="n">
        <v>8</v>
      </c>
      <c r="F6" s="5" t="n">
        <f aca="false">D6*E6</f>
        <v>8</v>
      </c>
      <c r="G6" s="3" t="s">
        <v>31</v>
      </c>
      <c r="H6" s="2" t="s">
        <v>32</v>
      </c>
      <c r="I6" s="3" t="s">
        <v>58</v>
      </c>
      <c r="J6" s="3" t="s">
        <v>59</v>
      </c>
      <c r="K6" s="2" t="s">
        <v>32</v>
      </c>
      <c r="L6" s="3" t="s">
        <v>60</v>
      </c>
      <c r="M6" s="4" t="n">
        <v>10</v>
      </c>
      <c r="N6" s="3" t="s">
        <v>61</v>
      </c>
      <c r="O6" s="3" t="s">
        <v>62</v>
      </c>
      <c r="P6" s="3" t="s">
        <v>63</v>
      </c>
      <c r="Q6" s="2"/>
      <c r="R6" s="2"/>
    </row>
    <row r="7" customFormat="false" ht="64.5" hidden="false" customHeight="true" outlineLevel="0" collapsed="false">
      <c r="A7" s="6" t="n">
        <v>6</v>
      </c>
      <c r="B7" s="7" t="s">
        <v>64</v>
      </c>
      <c r="C7" s="7" t="s">
        <v>65</v>
      </c>
      <c r="D7" s="6" t="n">
        <v>1</v>
      </c>
      <c r="E7" s="8" t="n">
        <v>6.5</v>
      </c>
      <c r="F7" s="9" t="n">
        <f aca="false">D7*E7</f>
        <v>6.5</v>
      </c>
      <c r="G7" s="7" t="s">
        <v>31</v>
      </c>
      <c r="H7" s="6" t="s">
        <v>32</v>
      </c>
      <c r="I7" s="7" t="s">
        <v>66</v>
      </c>
      <c r="J7" s="7" t="s">
        <v>67</v>
      </c>
      <c r="K7" s="6" t="s">
        <v>43</v>
      </c>
      <c r="L7" s="7" t="s">
        <v>68</v>
      </c>
      <c r="M7" s="8"/>
      <c r="N7" s="7"/>
      <c r="O7" s="7" t="s">
        <v>69</v>
      </c>
      <c r="P7" s="7" t="s">
        <v>70</v>
      </c>
      <c r="Q7" s="6"/>
      <c r="R7" s="6"/>
    </row>
    <row r="8" customFormat="false" ht="64.5" hidden="false" customHeight="true" outlineLevel="0" collapsed="false">
      <c r="A8" s="2" t="n">
        <v>7</v>
      </c>
      <c r="B8" s="3" t="s">
        <v>71</v>
      </c>
      <c r="C8" s="3" t="s">
        <v>72</v>
      </c>
      <c r="D8" s="2" t="n">
        <v>1</v>
      </c>
      <c r="E8" s="4" t="n">
        <v>6</v>
      </c>
      <c r="F8" s="5" t="n">
        <f aca="false">D8*E8</f>
        <v>6</v>
      </c>
      <c r="G8" s="3" t="s">
        <v>31</v>
      </c>
      <c r="H8" s="2" t="s">
        <v>32</v>
      </c>
      <c r="I8" s="3" t="s">
        <v>73</v>
      </c>
      <c r="J8" s="3" t="s">
        <v>74</v>
      </c>
      <c r="K8" s="2" t="s">
        <v>32</v>
      </c>
      <c r="L8" s="3" t="s">
        <v>75</v>
      </c>
      <c r="M8" s="4" t="n">
        <v>6</v>
      </c>
      <c r="N8" s="3" t="s">
        <v>76</v>
      </c>
      <c r="O8" s="3" t="s">
        <v>77</v>
      </c>
      <c r="P8" s="3" t="s">
        <v>78</v>
      </c>
      <c r="Q8" s="2"/>
      <c r="R8" s="2"/>
    </row>
    <row r="9" customFormat="false" ht="64.5" hidden="false" customHeight="true" outlineLevel="0" collapsed="false">
      <c r="A9" s="6" t="n">
        <v>8</v>
      </c>
      <c r="B9" s="7" t="s">
        <v>79</v>
      </c>
      <c r="C9" s="7" t="s">
        <v>80</v>
      </c>
      <c r="D9" s="6" t="n">
        <v>1</v>
      </c>
      <c r="E9" s="8" t="n">
        <v>2.5</v>
      </c>
      <c r="F9" s="9" t="n">
        <f aca="false">D9*E9</f>
        <v>2.5</v>
      </c>
      <c r="G9" s="7" t="s">
        <v>81</v>
      </c>
      <c r="H9" s="6" t="s">
        <v>21</v>
      </c>
      <c r="I9" s="7" t="s">
        <v>82</v>
      </c>
      <c r="J9" s="7" t="s">
        <v>83</v>
      </c>
      <c r="K9" s="6" t="s">
        <v>84</v>
      </c>
      <c r="L9" s="7" t="s">
        <v>85</v>
      </c>
      <c r="M9" s="8" t="n">
        <v>7</v>
      </c>
      <c r="N9" s="7" t="s">
        <v>86</v>
      </c>
      <c r="O9" s="7" t="s">
        <v>87</v>
      </c>
      <c r="P9" s="7" t="s">
        <v>88</v>
      </c>
      <c r="Q9" s="6"/>
      <c r="R9" s="6"/>
    </row>
    <row r="10" customFormat="false" ht="64.5" hidden="false" customHeight="true" outlineLevel="0" collapsed="false">
      <c r="A10" s="2" t="n">
        <v>9</v>
      </c>
      <c r="B10" s="3" t="s">
        <v>89</v>
      </c>
      <c r="C10" s="3" t="s">
        <v>90</v>
      </c>
      <c r="D10" s="2" t="n">
        <v>1</v>
      </c>
      <c r="E10" s="4" t="n">
        <v>6</v>
      </c>
      <c r="F10" s="5" t="n">
        <f aca="false">D10*E10</f>
        <v>6</v>
      </c>
      <c r="G10" s="3" t="s">
        <v>31</v>
      </c>
      <c r="H10" s="2" t="s">
        <v>32</v>
      </c>
      <c r="I10" s="3" t="s">
        <v>91</v>
      </c>
      <c r="J10" s="3" t="s">
        <v>92</v>
      </c>
      <c r="K10" s="2" t="s">
        <v>32</v>
      </c>
      <c r="L10" s="3" t="s">
        <v>93</v>
      </c>
      <c r="M10" s="4"/>
      <c r="N10" s="3"/>
      <c r="O10" s="3" t="s">
        <v>94</v>
      </c>
      <c r="P10" s="3" t="s">
        <v>95</v>
      </c>
      <c r="Q10" s="2"/>
      <c r="R10" s="2"/>
    </row>
    <row r="11" customFormat="false" ht="64.5" hidden="false" customHeight="true" outlineLevel="0" collapsed="false">
      <c r="A11" s="6" t="n">
        <v>10</v>
      </c>
      <c r="B11" s="7" t="s">
        <v>96</v>
      </c>
      <c r="C11" s="7" t="s">
        <v>97</v>
      </c>
      <c r="D11" s="6" t="n">
        <v>1</v>
      </c>
      <c r="E11" s="8" t="n">
        <v>9.5</v>
      </c>
      <c r="F11" s="9" t="n">
        <f aca="false">D11*E11</f>
        <v>9.5</v>
      </c>
      <c r="G11" s="7" t="s">
        <v>31</v>
      </c>
      <c r="H11" s="6" t="s">
        <v>32</v>
      </c>
      <c r="I11" s="7" t="s">
        <v>98</v>
      </c>
      <c r="J11" s="7" t="s">
        <v>99</v>
      </c>
      <c r="K11" s="6" t="s">
        <v>24</v>
      </c>
      <c r="L11" s="7" t="s">
        <v>100</v>
      </c>
      <c r="M11" s="8" t="n">
        <v>11</v>
      </c>
      <c r="N11" s="7" t="s">
        <v>101</v>
      </c>
      <c r="O11" s="7" t="s">
        <v>102</v>
      </c>
      <c r="P11" s="7" t="s">
        <v>103</v>
      </c>
      <c r="Q11" s="6"/>
      <c r="R11" s="6"/>
    </row>
    <row r="12" customFormat="false" ht="64.5" hidden="false" customHeight="true" outlineLevel="0" collapsed="false">
      <c r="A12" s="2" t="n">
        <v>11</v>
      </c>
      <c r="B12" s="3" t="s">
        <v>104</v>
      </c>
      <c r="C12" s="3" t="s">
        <v>105</v>
      </c>
      <c r="D12" s="2" t="n">
        <v>1</v>
      </c>
      <c r="E12" s="4" t="n">
        <v>11</v>
      </c>
      <c r="F12" s="5" t="n">
        <f aca="false">D12*E12</f>
        <v>11</v>
      </c>
      <c r="G12" s="3" t="s">
        <v>31</v>
      </c>
      <c r="H12" s="2" t="s">
        <v>32</v>
      </c>
      <c r="I12" s="3" t="s">
        <v>106</v>
      </c>
      <c r="J12" s="3" t="s">
        <v>107</v>
      </c>
      <c r="K12" s="2" t="s">
        <v>24</v>
      </c>
      <c r="L12" s="3" t="s">
        <v>108</v>
      </c>
      <c r="M12" s="4" t="n">
        <v>12</v>
      </c>
      <c r="N12" s="3" t="s">
        <v>109</v>
      </c>
      <c r="O12" s="3" t="s">
        <v>110</v>
      </c>
      <c r="P12" s="3" t="s">
        <v>111</v>
      </c>
      <c r="Q12" s="2"/>
      <c r="R12" s="2"/>
    </row>
    <row r="14" customFormat="false" ht="15" hidden="false" customHeight="false" outlineLevel="0" collapsed="false">
      <c r="D14" s="10" t="s">
        <v>112</v>
      </c>
      <c r="F14" s="11" t="n">
        <f aca="false">SUM(F2:F12)</f>
        <v>142.5</v>
      </c>
    </row>
    <row r="15" customFormat="false" ht="15" hidden="false" customHeight="false" outlineLevel="0" collapsed="false">
      <c r="D15" s="10" t="s">
        <v>113</v>
      </c>
      <c r="F15" s="11" t="n">
        <v>333</v>
      </c>
    </row>
    <row r="16" customFormat="false" ht="15" hidden="false" customHeight="false" outlineLevel="0" collapsed="false">
      <c r="D16" s="10" t="s">
        <v>114</v>
      </c>
      <c r="F16" s="11" t="n">
        <f aca="false">F15-F14</f>
        <v>190.5</v>
      </c>
    </row>
  </sheetData>
  <autoFilter ref="A1:R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2" t="s">
        <v>115</v>
      </c>
      <c r="B1" s="12" t="s">
        <v>116</v>
      </c>
    </row>
    <row r="2" customFormat="false" ht="15" hidden="false" customHeight="false" outlineLevel="0" collapsed="false">
      <c r="A2" s="13" t="s">
        <v>117</v>
      </c>
      <c r="B2" s="13" t="s">
        <v>118</v>
      </c>
    </row>
    <row r="3" customFormat="false" ht="15" hidden="false" customHeight="false" outlineLevel="0" collapsed="false">
      <c r="A3" s="13" t="s">
        <v>119</v>
      </c>
      <c r="B3" s="13" t="s">
        <v>120</v>
      </c>
    </row>
    <row r="4" customFormat="false" ht="15" hidden="false" customHeight="false" outlineLevel="0" collapsed="false">
      <c r="A4" s="13" t="s">
        <v>121</v>
      </c>
      <c r="B4" s="13" t="s">
        <v>122</v>
      </c>
    </row>
    <row r="5" customFormat="false" ht="15" hidden="false" customHeight="false" outlineLevel="0" collapsed="false">
      <c r="A5" s="13" t="s">
        <v>123</v>
      </c>
      <c r="B5" s="13" t="s">
        <v>124</v>
      </c>
    </row>
    <row r="6" customFormat="false" ht="15" hidden="false" customHeight="false" outlineLevel="0" collapsed="false">
      <c r="A6" s="13" t="s">
        <v>125</v>
      </c>
      <c r="B6" s="13" t="s">
        <v>126</v>
      </c>
    </row>
    <row r="7" customFormat="false" ht="15" hidden="false" customHeight="false" outlineLevel="0" collapsed="false">
      <c r="A7" s="13" t="s">
        <v>127</v>
      </c>
      <c r="B7" s="13" t="s">
        <v>128</v>
      </c>
    </row>
    <row r="8" customFormat="false" ht="15" hidden="false" customHeight="false" outlineLevel="0" collapsed="false">
      <c r="A8" s="13" t="s">
        <v>129</v>
      </c>
      <c r="B8" s="1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2" t="s">
        <v>131</v>
      </c>
      <c r="B1" s="12" t="s">
        <v>132</v>
      </c>
      <c r="C1" s="12" t="s">
        <v>133</v>
      </c>
      <c r="D1" s="12" t="s">
        <v>134</v>
      </c>
    </row>
    <row r="2" customFormat="false" ht="45" hidden="false" customHeight="true" outlineLevel="0" collapsed="false">
      <c r="A2" s="14" t="s">
        <v>29</v>
      </c>
      <c r="B2" s="14" t="s">
        <v>135</v>
      </c>
      <c r="C2" s="15" t="s">
        <v>32</v>
      </c>
      <c r="D2" s="14" t="s">
        <v>136</v>
      </c>
    </row>
    <row r="3" customFormat="false" ht="45" hidden="false" customHeight="true" outlineLevel="0" collapsed="false">
      <c r="A3" s="14" t="s">
        <v>137</v>
      </c>
      <c r="B3" s="14" t="s">
        <v>138</v>
      </c>
      <c r="C3" s="15" t="s">
        <v>32</v>
      </c>
      <c r="D3" s="14" t="s">
        <v>139</v>
      </c>
    </row>
    <row r="4" customFormat="false" ht="45" hidden="false" customHeight="true" outlineLevel="0" collapsed="false">
      <c r="A4" s="14" t="s">
        <v>39</v>
      </c>
      <c r="B4" s="14" t="s">
        <v>140</v>
      </c>
      <c r="C4" s="15" t="s">
        <v>32</v>
      </c>
      <c r="D4" s="14" t="s">
        <v>141</v>
      </c>
    </row>
    <row r="5" customFormat="false" ht="45" hidden="false" customHeight="true" outlineLevel="0" collapsed="false">
      <c r="A5" s="14" t="s">
        <v>48</v>
      </c>
      <c r="B5" s="14" t="s">
        <v>142</v>
      </c>
      <c r="C5" s="15" t="s">
        <v>32</v>
      </c>
      <c r="D5" s="14" t="s">
        <v>143</v>
      </c>
    </row>
    <row r="6" customFormat="false" ht="45" hidden="false" customHeight="true" outlineLevel="0" collapsed="false">
      <c r="A6" s="14" t="s">
        <v>144</v>
      </c>
      <c r="B6" s="14" t="s">
        <v>145</v>
      </c>
      <c r="C6" s="15" t="s">
        <v>32</v>
      </c>
      <c r="D6" s="14" t="s">
        <v>146</v>
      </c>
    </row>
    <row r="7" customFormat="false" ht="45" hidden="false" customHeight="true" outlineLevel="0" collapsed="false">
      <c r="A7" s="14" t="s">
        <v>147</v>
      </c>
      <c r="B7" s="14" t="s">
        <v>148</v>
      </c>
      <c r="C7" s="15" t="s">
        <v>32</v>
      </c>
      <c r="D7" s="14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2026-03-24T06:41:46Z</dcterms:created>
  <dc:creator>openpyxl</dc:creator>
  <dc:description/>
  <dc:language>en-US</dc:language>
  <cp:lastModifiedBy/>
  <dcterms:modified xsi:type="dcterms:W3CDTF">2026-03-24T06:41:46Z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