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opping List" sheetId="1" state="visible" r:id="rId3"/>
    <sheet name="Recommended Build" sheetId="2" state="visible" r:id="rId4"/>
    <sheet name="Already Owne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<sst xmlns="http://schemas.openxmlformats.org/spreadsheetml/2006/main" count="335" uniqueCount="199">
  <si>
    <t xml:space="preserve">Big Bird is Watching You -- Shopping List with Links</t>
  </si>
  <si>
    <t xml:space="preserve">Total Budget: $333 (flexible)  |  Location: Claremont, CA  |  Shipping: Amazon Prime preferred, within 1 week</t>
  </si>
  <si>
    <t xml:space="preserve">#</t>
  </si>
  <si>
    <t xml:space="preserve">Category</t>
  </si>
  <si>
    <t xml:space="preserve">Qty</t>
  </si>
  <si>
    <t xml:space="preserve">Pick Type</t>
  </si>
  <si>
    <t xml:space="preserve">Product Name</t>
  </si>
  <si>
    <t xml:space="preserve">Price ($)</t>
  </si>
  <si>
    <t xml:space="preserve">Subtotal ($)</t>
  </si>
  <si>
    <t xml:space="preserve">Seller</t>
  </si>
  <si>
    <t xml:space="preserve">Purchase URL</t>
  </si>
  <si>
    <t xml:space="preserve">Pi 5 Compatible?</t>
  </si>
  <si>
    <t xml:space="preserve">In Stock?</t>
  </si>
  <si>
    <t xml:space="preserve">Key Specs</t>
  </si>
  <si>
    <t xml:space="preserve">Notes / Warnings</t>
  </si>
  <si>
    <t xml:space="preserve">Big Bird Plush</t>
  </si>
  <si>
    <t xml:space="preserve">Budget</t>
  </si>
  <si>
    <t xml:space="preserve">Jrystar 24" Yellow Duck Stuffed Animal</t>
  </si>
  <si>
    <t xml:space="preserve">Amazon</t>
  </si>
  <si>
    <t xml:space="preserve">https://www.amazon.com/Jrystar-Stuffed-Animals-Birthday-Christmas/dp/B0FB369SBS</t>
  </si>
  <si>
    <t xml:space="preserve">N/A</t>
  </si>
  <si>
    <t xml:space="preserve">Yes</t>
  </si>
  <si>
    <t xml:space="preserve">24" tall, soft PP cotton fill, vacuum compressed, lightweight</t>
  </si>
  <si>
    <t xml:space="preserve">Generic yellow duck, not Big Bird. Easy to cut open and modify. Cheapest option that meets 2ft requirement.</t>
  </si>
  <si>
    <t xml:space="preserve">Best Value</t>
  </si>
  <si>
    <t xml:space="preserve">Jay Franco Sesame Street Big Bird Plush Pillow Buddy</t>
  </si>
  <si>
    <t xml:space="preserve">https://www.amazon.com/Jay-Franco-Weighted-Sesame-Street/dp/B0DJC7WLXW</t>
  </si>
  <si>
    <t xml:space="preserve">22" tall, weighted 2.5 lbs, official Sesame Street</t>
  </si>
  <si>
    <t xml:space="preserve">Actual Big Bird. 2" short of 24" goal. Weighted fill adds bulk. Also at Walmart for ~$30.</t>
  </si>
  <si>
    <t xml:space="preserve">Alt</t>
  </si>
  <si>
    <t xml:space="preserve">Walmart Sesame Street Fuzzy Big Bird Pillow Buddy</t>
  </si>
  <si>
    <t xml:space="preserve">Walmart</t>
  </si>
  <si>
    <t xml:space="preserve">https://www.walmart.com/ip/Sesame-Street-Fuzzy-Big-Bird-Plush-Pillow-Buddy-Kids-Super-Soft-Stuffed-Pillow/13327818538</t>
  </si>
  <si>
    <t xml:space="preserve">Same Jay Franco plush, Walmart listing</t>
  </si>
  <si>
    <t xml:space="preserve">Slightly cheaper than Amazon for the same product.</t>
  </si>
  <si>
    <t xml:space="preserve">HDMI Display (7")</t>
  </si>
  <si>
    <t xml:space="preserve">HMTECH 7" IPS Non-Touch 800x480</t>
  </si>
  <si>
    <t xml:space="preserve">https://www.amazon.com/HMTECH-Raspberry-Pi-Monitor-Non-Touch/dp/B09MFNLRQQ</t>
  </si>
  <si>
    <t xml:space="preserve">7" IPS, 800x480, 178 deg viewing angles, USB powered, bracket/stand</t>
  </si>
  <si>
    <t xml:space="preserve">Lower resolution than GeeekPi. Does NOT include micro-HDMI cable. Still functional for large text UI.</t>
  </si>
  <si>
    <t xml:space="preserve">Recommended</t>
  </si>
  <si>
    <t xml:space="preserve">GeeekPi 7" IPS Non-Touch 1024x600</t>
  </si>
  <si>
    <t xml:space="preserve">https://www.amazon.com/GeeekPi-Raspberry-1024x600-Display-Portable/dp/B0CHRD7CQ3</t>
  </si>
  <si>
    <t xml:space="preserve">7" IPS, 1024x600, USB powered, stand included, micro-HDMI adapter included</t>
  </si>
  <si>
    <t xml:space="preserve">Best value. Higher resolution for text readability. Includes micro-HDMI adapter so Item 5 becomes optional. Explicitly lists Pi 5.</t>
  </si>
  <si>
    <t xml:space="preserve">Big Red Arcade Button</t>
  </si>
  <si>
    <t xml:space="preserve">EG STARTS 100mm Big Dome LED Arcade Button (Red)</t>
  </si>
  <si>
    <t xml:space="preserve">https://www.amazon.com/EG-STARTS-Buttons-Illuminated-Machine/dp/B01LZMANZ7</t>
  </si>
  <si>
    <t xml:space="preserve">100mm (4") dome, 12V LED, microswitch with 4.8mm crimp terminals, mounting nut included</t>
  </si>
  <si>
    <t xml:space="preserve">Standard arcade button. LED is 12V (won't light from Pi GPIO alone, but button click works fine without LED). Momentary NO contacts. Buy 2.</t>
  </si>
  <si>
    <t xml:space="preserve">Alt (5V LED)</t>
  </si>
  <si>
    <t xml:space="preserve">Easyget 5V 100mm Red Dome LED Button</t>
  </si>
  <si>
    <t xml:space="preserve">https://www.amazon.com/Easyget-Shaped-Illuminated-Self-resetting-Projects/dp/B00XRC9URW</t>
  </si>
  <si>
    <t xml:space="preserve">100mm dome, 5V LED (can power from Pi GPIO), microswitch, mounting hardware</t>
  </si>
  <si>
    <t xml:space="preserve">5V LED version can be lit directly from Pi GPIO 3.3V/5V pin. Slightly cheaper.</t>
  </si>
  <si>
    <t xml:space="preserve">Alt (Adafruit)</t>
  </si>
  <si>
    <t xml:space="preserve">Adafruit Massive Arcade Button 100mm Red (#1185)</t>
  </si>
  <si>
    <t xml:space="preserve">Adafruit</t>
  </si>
  <si>
    <t xml:space="preserve">https://www.adafruit.com/product/1185</t>
  </si>
  <si>
    <t xml:space="preserve">Check</t>
  </si>
  <si>
    <t xml:space="preserve">100mm, well-documented for Pi projects, high quality microswitch</t>
  </si>
  <si>
    <t xml:space="preserve">Gold-standard quality. Check stock before ordering, sometimes out of stock.</t>
  </si>
  <si>
    <t xml:space="preserve">Small Speaker</t>
  </si>
  <si>
    <t xml:space="preserve">SparkFun Hamburger Mini Speaker</t>
  </si>
  <si>
    <t xml:space="preserve">SparkFun</t>
  </si>
  <si>
    <t xml:space="preserve">https://www.sparkfun.com/hamburger-mini-speaker.html</t>
  </si>
  <si>
    <t xml:space="preserve">~2" diameter, 3W, 3.5mm aux, built-in rechargeable battery, mini-USB charge</t>
  </si>
  <si>
    <t xml:space="preserve">Tiny size ideal for stuffing inside plush. Battery means fewer wires. Two volume levels. May need recharging between sessions.</t>
  </si>
  <si>
    <t xml:space="preserve">Adafruit USB Powered Speakers (#1363)</t>
  </si>
  <si>
    <t xml:space="preserve">https://www.adafruit.com/product/1363</t>
  </si>
  <si>
    <t xml:space="preserve">Yes (21 units)</t>
  </si>
  <si>
    <t xml:space="preserve">3.5mm stereo input, USB powered (200-400mA), volume control wheel, pair of speakers</t>
  </si>
  <si>
    <t xml:space="preserve">Adafruit tested for Pi. Pair of speakers (use one). Louder and more consistent than battery. Draws continuous USB power from Pi.</t>
  </si>
  <si>
    <t xml:space="preserve">Micro-HDMI to HDMI Cable</t>
  </si>
  <si>
    <t xml:space="preserve">Anbear Micro HDMI to HDMI Cable 3ft</t>
  </si>
  <si>
    <t xml:space="preserve">https://www.amazon.com/Micro-Cable-Anbear-Support-Compatible/dp/B088RB2QG9</t>
  </si>
  <si>
    <t xml:space="preserve">3ft, HDMI 2.0, 4K@60Hz, gold-plated</t>
  </si>
  <si>
    <t xml:space="preserve">Basic functional cable. Skip this if GeeekPi display (includes adapter) is purchased.</t>
  </si>
  <si>
    <t xml:space="preserve">UGREEN Micro HDMI to HDMI Cable 3ft</t>
  </si>
  <si>
    <t xml:space="preserve">https://www.amazon.com/UGREEN-Adapter-Ethernet-Compatible-Raspberry/dp/B06WWQ7KLV</t>
  </si>
  <si>
    <t xml:space="preserve">3ft, triple-shielded, UGREEN brand, explicitly lists Pi 5</t>
  </si>
  <si>
    <t xml:space="preserve">Higher build quality. Explicitly lists Pi 5 compatibility in product description.</t>
  </si>
  <si>
    <t xml:space="preserve">Jumper Wires (F-to-F)</t>
  </si>
  <si>
    <t xml:space="preserve">ELEGOO 120-piece Dupont Wire Kit</t>
  </si>
  <si>
    <t xml:space="preserve">https://www.amazon.com/Elegoo-EL-CP-004-Multicolored-Breadboard-arduino/dp/B01EV70C78</t>
  </si>
  <si>
    <t xml:space="preserve">40x F/F + 40x M/F + 40x M/M, 20cm (8") length, 2.54mm pitch</t>
  </si>
  <si>
    <t xml:space="preserve">12,500+ reviews at 4.7 stars. 20cm length is minimum for routing inside puppet. Extra wire types useful for prototyping.</t>
  </si>
  <si>
    <t xml:space="preserve">Alt (longer)</t>
  </si>
  <si>
    <t xml:space="preserve">Adafruit Premium F/F Jumper Wires 40x12"</t>
  </si>
  <si>
    <t xml:space="preserve">https://www.adafruit.com/product/793</t>
  </si>
  <si>
    <t xml:space="preserve">40x F/F only, 12" (300mm) length, higher quality connectors</t>
  </si>
  <si>
    <t xml:space="preserve">12" length gives much more routing flexibility inside a large plush. Higher quality than generic Dupont.</t>
  </si>
  <si>
    <t xml:space="preserve">3.5mm Audio Cable</t>
  </si>
  <si>
    <t xml:space="preserve">YCS Basics 1-Foot 3.5mm Stereo Cable</t>
  </si>
  <si>
    <t xml:space="preserve">https://www.amazon.com/YCS-Basics-Stereo-Headphone-Smartphone/dp/B00A6VYPFE</t>
  </si>
  <si>
    <t xml:space="preserve">1ft, 3.5mm male-to-male, basic stereo</t>
  </si>
  <si>
    <t xml:space="preserve">Cheap and functional. Only needed if speaker uses 3.5mm input.</t>
  </si>
  <si>
    <t xml:space="preserve">CableCreation 3.5mm Aux Cable 1.5ft</t>
  </si>
  <si>
    <t xml:space="preserve">https://www.amazon.com/CableCreation-Auxiliary-Compatible-Headphones-iPhones/dp/B01K3WX4FW</t>
  </si>
  <si>
    <t xml:space="preserve">1.5ft, braided, aluminum shell, gold-plated slim connectors, double shielded</t>
  </si>
  <si>
    <t xml:space="preserve">Better build. 1.5ft is ideal routing length inside a stuffed animal.</t>
  </si>
  <si>
    <t xml:space="preserve">Pi 5 Camera Ribbon Cable</t>
  </si>
  <si>
    <t xml:space="preserve">Adafruit Pi 5 FPC Camera Cable 300mm (#5819)</t>
  </si>
  <si>
    <t xml:space="preserve">https://www.adafruit.com/product/5819</t>
  </si>
  <si>
    <t xml:space="preserve">Yes (71 units)</t>
  </si>
  <si>
    <t xml:space="preserve">22-pin 0.5mm to 15-pin 1.0mm, 300mm long, official Raspberry Pi cable</t>
  </si>
  <si>
    <t xml:space="preserve">CRITICAL: Must be 22-pin for Pi 5. Stock cable is ~150mm, too short for routing from body to eye. 300mm is ideal.</t>
  </si>
  <si>
    <t xml:space="preserve">Alt (500mm)</t>
  </si>
  <si>
    <t xml:space="preserve">Adafruit Pi 5 FPC Camera Cable 500mm (#5820)</t>
  </si>
  <si>
    <t xml:space="preserve">https://www.adafruit.com/product/5820</t>
  </si>
  <si>
    <t xml:space="preserve">22-pin to 15-pin, 500mm long</t>
  </si>
  <si>
    <t xml:space="preserve">Longer option if 300mm is too short for your puppet. Actually cheaper than 300mm.</t>
  </si>
  <si>
    <t xml:space="preserve">Alt (Amazon)</t>
  </si>
  <si>
    <t xml:space="preserve">Waveshare CSI FPC Cable for Pi 5, 500mm</t>
  </si>
  <si>
    <t xml:space="preserve">https://www.amazon.com/waveshare-Flexible-Raspberry-Suitable-Modules/dp/B0D49FTZG5</t>
  </si>
  <si>
    <t xml:space="preserve">22-pin to 15-pin, 500mm, EMI shielding both sides</t>
  </si>
  <si>
    <t xml:space="preserve">Amazon option if consolidating orders. More expensive than Adafruit for same thing.</t>
  </si>
  <si>
    <t xml:space="preserve">USB-C Right-Angle Adapter</t>
  </si>
  <si>
    <t xml:space="preserve">AuviPal 90 Degree USB-C Adapter 2-pack</t>
  </si>
  <si>
    <t xml:space="preserve">https://www.amazon.com/AuviPal-Degree-Adapter-Extender-Notebook/dp/B0B8X6H96S</t>
  </si>
  <si>
    <t xml:space="preserve">USB4, 100W PD, 40Gbps, aluminum, includes up-angle + down-angle</t>
  </si>
  <si>
    <t xml:space="preserve">MUST support Power Delivery (100W). Pi 5 draws up to 27W. Cheap data-only adapters will NOT work. 2-pack gives spare.</t>
  </si>
  <si>
    <t xml:space="preserve">URWOOW USB-C Right Angle Adapter 2-pack</t>
  </si>
  <si>
    <t xml:space="preserve">https://www.amazon.com/URWOOW-L-Shape-Degree-Adapter-Extension/dp/B07JGYBCT1</t>
  </si>
  <si>
    <t xml:space="preserve">100W PD, plastic housing</t>
  </si>
  <si>
    <t xml:space="preserve">Functional and cheaper. Plastic instead of aluminum.</t>
  </si>
  <si>
    <t xml:space="preserve">Button Mounting Surface</t>
  </si>
  <si>
    <t xml:space="preserve">Woiworco Unfinished Wooden Box 12"x9.2"x3.3"</t>
  </si>
  <si>
    <t xml:space="preserve">https://www.amazon.com/stores/Woiworco/page/FCE447E1-D52B-4B71-BF59-71E094730E17</t>
  </si>
  <si>
    <t xml:space="preserve">Pine wood, hinged lid with clasp, 12x9.2" surface, 3.3" deep</t>
  </si>
  <si>
    <t xml:space="preserve">Plenty of surface for 100mm (4") button hole with clearance. Depth houses button mechanism and wiring underneath.</t>
  </si>
  <si>
    <t xml:space="preserve">Creative Hobbies Unfinished Wood Box 6"x4"x2"</t>
  </si>
  <si>
    <t xml:space="preserve">https://www.amazon.com/Creative-Hobbies-Unfinished-Wood-Craft/dp/B08TKD4Y83</t>
  </si>
  <si>
    <t xml:space="preserve">6x4x2", light wood, clasp</t>
  </si>
  <si>
    <t xml:space="preserve">WARNING: 4" wide surface is too tight for a 100mm (4") button. Only works with a smaller 60mm button or if mounted along the 6" side at an angle.</t>
  </si>
  <si>
    <t xml:space="preserve">Power Strip</t>
  </si>
  <si>
    <t xml:space="preserve">Amazon Basics 6-Outlet Surge Protector 6ft (Black)</t>
  </si>
  <si>
    <t xml:space="preserve">https://www.amazon.com/Amazon-Basics-Protector-Extension-Protection/dp/B00TP1C51M</t>
  </si>
  <si>
    <t xml:space="preserve">6 outlets, 6ft cord, 790-joule surge protection, 15A breaker, LED indicator</t>
  </si>
  <si>
    <t xml:space="preserve">23,000+ ratings at 4.7 stars. Standard reliable power strip.</t>
  </si>
  <si>
    <t xml:space="preserve">OpenAI API Costs</t>
  </si>
  <si>
    <t xml:space="preserve">Estimate</t>
  </si>
  <si>
    <t xml:space="preserve">OpenAI API usage (gpt-4o-mini vision calls)</t>
  </si>
  <si>
    <t xml:space="preserve">OpenAI</t>
  </si>
  <si>
    <t xml:space="preserve">https://platform.openai.com/pricing</t>
  </si>
  <si>
    <t xml:space="preserve">Vision API at ~$0.01-0.02 per call</t>
  </si>
  <si>
    <t xml:space="preserve">Estimated cost for 100-200 interactions during the full installation run. Actual cost depends on usage.</t>
  </si>
  <si>
    <t xml:space="preserve">Recommended Build -- One item per category</t>
  </si>
  <si>
    <t xml:space="preserve">Notes</t>
  </si>
  <si>
    <t xml:space="preserve">Generic yellow duck. Biggest and cheapest. Easy to modify.</t>
  </si>
  <si>
    <t xml:space="preserve">GeeekPi 7" IPS 1024x600 Non-Touch</t>
  </si>
  <si>
    <t xml:space="preserve">Best value. 1024x600, IPS, includes micro-HDMI adapter. Pi 5 listed.</t>
  </si>
  <si>
    <t xml:space="preserve">EG STARTS 100mm Dome LED (Red)</t>
  </si>
  <si>
    <t xml:space="preserve">100mm, momentary NO, mounting hardware included. Buy 2 (1 backup). Price is per unit.</t>
  </si>
  <si>
    <t xml:space="preserve">Tiny, 3.5mm aux, built-in rechargeable battery. Ideal for stuffed animal.</t>
  </si>
  <si>
    <t xml:space="preserve">Micro-HDMI Cable</t>
  </si>
  <si>
    <t xml:space="preserve">UGREEN Micro HDMI to HDMI 3ft</t>
  </si>
  <si>
    <t xml:space="preserve">Optional if GeeekPi display adapter works. Good to have as backup.</t>
  </si>
  <si>
    <t xml:space="preserve">Jumper Wires</t>
  </si>
  <si>
    <t xml:space="preserve">Includes F/F, M/F, M/M. 20cm length. 12,500+ reviews.</t>
  </si>
  <si>
    <t xml:space="preserve">CableCreation 1.5ft Braided</t>
  </si>
  <si>
    <t xml:space="preserve">Only needed if speaker uses 3.5mm. 1.5ft ideal for internal routing.</t>
  </si>
  <si>
    <t xml:space="preserve">Camera Ribbon Cable</t>
  </si>
  <si>
    <t xml:space="preserve">Adafruit Pi 5 FPC 300mm (#5819)</t>
  </si>
  <si>
    <t xml:space="preserve">MUST be 22-pin for Pi 5. 300mm routes from body to eye socket.</t>
  </si>
  <si>
    <t xml:space="preserve">USB-C Right-Angle</t>
  </si>
  <si>
    <t xml:space="preserve">AuviPal 90 Degree 2-pack</t>
  </si>
  <si>
    <t xml:space="preserve">Must support 100W PD. Clean power cable routing inside puppet.</t>
  </si>
  <si>
    <t xml:space="preserve">Button Mount Box</t>
  </si>
  <si>
    <t xml:space="preserve">Woiworco Wooden Box 12"x9.2"</t>
  </si>
  <si>
    <t xml:space="preserve">Large enough for 100mm button hole with clearance.</t>
  </si>
  <si>
    <t xml:space="preserve">Amazon Basics 6-Outlet 6ft</t>
  </si>
  <si>
    <t xml:space="preserve">Surge protection. 6 outlets for Pi + display + extras.</t>
  </si>
  <si>
    <t xml:space="preserve">API Costs</t>
  </si>
  <si>
    <t xml:space="preserve">OpenAI API (gpt-4o-mini vision)</t>
  </si>
  <si>
    <t xml:space="preserve">Estimated $1-5 for full installation run.</t>
  </si>
  <si>
    <t xml:space="preserve">TOTAL</t>
  </si>
  <si>
    <t xml:space="preserve">Remaining from $333 budget</t>
  </si>
  <si>
    <t xml:space="preserve">Already Owned -- DO NOT PURCHASE</t>
  </si>
  <si>
    <t xml:space="preserve">Item</t>
  </si>
  <si>
    <t xml:space="preserve">Role in Project</t>
  </si>
  <si>
    <t xml:space="preserve">Raspberry Pi 5 (8GB)</t>
  </si>
  <si>
    <t xml:space="preserve">Main computer. Runs the web server, camera, audio, GPIO. The brain inside Big Bird.</t>
  </si>
  <si>
    <t xml:space="preserve">Raspberry Pi Camera Module 3</t>
  </si>
  <si>
    <t xml:space="preserve">Mounts in Big Bird's eye socket. Captures participant photos.</t>
  </si>
  <si>
    <t xml:space="preserve">Raspberry Pi Active Cooler</t>
  </si>
  <si>
    <t xml:space="preserve">Fan + heatsink. Required because Pi is enclosed inside puppet with no airflow.</t>
  </si>
  <si>
    <t xml:space="preserve">27W USB-C Power Supply</t>
  </si>
  <si>
    <t xml:space="preserve">Powers the Pi 5. Must be 5V/5A; phone chargers won't work.</t>
  </si>
  <si>
    <t xml:space="preserve">32GB microSD Card (Class A2)</t>
  </si>
  <si>
    <t xml:space="preserve">Pi's storage drive. OS and all project software live here.</t>
  </si>
  <si>
    <t xml:space="preserve">MacBook Pro</t>
  </si>
  <si>
    <t xml:space="preserve">For initial Pi setup, development, and testing. Not part of final installation.</t>
  </si>
  <si>
    <t xml:space="preserve">Keyboard and mouse</t>
  </si>
  <si>
    <t xml:space="preserve">For Pi setup only. Not part of final installation.</t>
  </si>
  <si>
    <t xml:space="preserve">XIAO ESP32S3 Sense + Expansion Board</t>
  </si>
  <si>
    <t xml:space="preserve">NOT NEEDED for this project.</t>
  </si>
  <si>
    <t xml:space="preserve">Grove Vision AI V2 Kit</t>
  </si>
  <si>
    <t xml:space="preserve">Arduino Nicla Vision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</si>
</sst>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CC000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E75B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2F6FA"/>
        <bgColor rgb="FFFFFFFF"/>
      </patternFill>
    </fill>
    <fill>
      <patternFill patternType="solid">
        <fgColor rgb="FFE2EFDA"/>
        <bgColor rgb="FFF2F6FA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medium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A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mazon.com/Jrystar-Stuffed-Animals-Birthday-Christmas/dp/B0FB369SBS" TargetMode="External"/><Relationship Id="rId2" Type="http://schemas.openxmlformats.org/officeDocument/2006/relationships/hyperlink" Target="https://www.amazon.com/Jay-Franco-Weighted-Sesame-Street/dp/B0DJC7WLXW" TargetMode="External"/><Relationship Id="rId3" Type="http://schemas.openxmlformats.org/officeDocument/2006/relationships/hyperlink" Target="https://www.walmart.com/ip/Sesame-Street-Fuzzy-Big-Bird-Plush-Pillow-Buddy-Kids-Super-Soft-Stuffed-Pillow/13327818538" TargetMode="External"/><Relationship Id="rId4" Type="http://schemas.openxmlformats.org/officeDocument/2006/relationships/hyperlink" Target="https://www.amazon.com/HMTECH-Raspberry-Pi-Monitor-Non-Touch/dp/B09MFNLRQQ" TargetMode="External"/><Relationship Id="rId5" Type="http://schemas.openxmlformats.org/officeDocument/2006/relationships/hyperlink" Target="https://www.amazon.com/GeeekPi-Raspberry-1024x600-Display-Portable/dp/B0CHRD7CQ3" TargetMode="External"/><Relationship Id="rId6" Type="http://schemas.openxmlformats.org/officeDocument/2006/relationships/hyperlink" Target="https://www.amazon.com/EG-STARTS-Buttons-Illuminated-Machine/dp/B01LZMANZ7" TargetMode="External"/><Relationship Id="rId7" Type="http://schemas.openxmlformats.org/officeDocument/2006/relationships/hyperlink" Target="https://www.amazon.com/Easyget-Shaped-Illuminated-Self-resetting-Projects/dp/B00XRC9URW" TargetMode="External"/><Relationship Id="rId8" Type="http://schemas.openxmlformats.org/officeDocument/2006/relationships/hyperlink" Target="https://www.adafruit.com/product/1185" TargetMode="External"/><Relationship Id="rId9" Type="http://schemas.openxmlformats.org/officeDocument/2006/relationships/hyperlink" Target="https://www.sparkfun.com/hamburger-mini-speaker.html" TargetMode="External"/><Relationship Id="rId10" Type="http://schemas.openxmlformats.org/officeDocument/2006/relationships/hyperlink" Target="https://www.adafruit.com/product/1363" TargetMode="External"/><Relationship Id="rId11" Type="http://schemas.openxmlformats.org/officeDocument/2006/relationships/hyperlink" Target="https://www.amazon.com/Micro-Cable-Anbear-Support-Compatible/dp/B088RB2QG9" TargetMode="External"/><Relationship Id="rId12" Type="http://schemas.openxmlformats.org/officeDocument/2006/relationships/hyperlink" Target="https://www.amazon.com/UGREEN-Adapter-Ethernet-Compatible-Raspberry/dp/B06WWQ7KLV" TargetMode="External"/><Relationship Id="rId13" Type="http://schemas.openxmlformats.org/officeDocument/2006/relationships/hyperlink" Target="https://www.amazon.com/Elegoo-EL-CP-004-Multicolored-Breadboard-arduino/dp/B01EV70C78" TargetMode="External"/><Relationship Id="rId14" Type="http://schemas.openxmlformats.org/officeDocument/2006/relationships/hyperlink" Target="https://www.adafruit.com/product/793" TargetMode="External"/><Relationship Id="rId15" Type="http://schemas.openxmlformats.org/officeDocument/2006/relationships/hyperlink" Target="https://www.amazon.com/YCS-Basics-Stereo-Headphone-Smartphone/dp/B00A6VYPFE" TargetMode="External"/><Relationship Id="rId16" Type="http://schemas.openxmlformats.org/officeDocument/2006/relationships/hyperlink" Target="https://www.amazon.com/CableCreation-Auxiliary-Compatible-Headphones-iPhones/dp/B01K3WX4FW" TargetMode="External"/><Relationship Id="rId17" Type="http://schemas.openxmlformats.org/officeDocument/2006/relationships/hyperlink" Target="https://www.adafruit.com/product/5819" TargetMode="External"/><Relationship Id="rId18" Type="http://schemas.openxmlformats.org/officeDocument/2006/relationships/hyperlink" Target="https://www.adafruit.com/product/5820" TargetMode="External"/><Relationship Id="rId19" Type="http://schemas.openxmlformats.org/officeDocument/2006/relationships/hyperlink" Target="https://www.amazon.com/waveshare-Flexible-Raspberry-Suitable-Modules/dp/B0D49FTZG5" TargetMode="External"/><Relationship Id="rId20" Type="http://schemas.openxmlformats.org/officeDocument/2006/relationships/hyperlink" Target="https://www.amazon.com/AuviPal-Degree-Adapter-Extender-Notebook/dp/B0B8X6H96S" TargetMode="External"/><Relationship Id="rId21" Type="http://schemas.openxmlformats.org/officeDocument/2006/relationships/hyperlink" Target="https://www.amazon.com/URWOOW-L-Shape-Degree-Adapter-Extension/dp/B07JGYBCT1" TargetMode="External"/><Relationship Id="rId22" Type="http://schemas.openxmlformats.org/officeDocument/2006/relationships/hyperlink" Target="https://www.amazon.com/stores/Woiworco/page/FCE447E1-D52B-4B71-BF59-71E094730E17" TargetMode="External"/><Relationship Id="rId23" Type="http://schemas.openxmlformats.org/officeDocument/2006/relationships/hyperlink" Target="https://www.amazon.com/Creative-Hobbies-Unfinished-Wood-Craft/dp/B08TKD4Y83" TargetMode="External"/><Relationship Id="rId24" Type="http://schemas.openxmlformats.org/officeDocument/2006/relationships/hyperlink" Target="https://www.amazon.com/Amazon-Basics-Protector-Extension-Protection/dp/B00TP1C51M" TargetMode="External"/><Relationship Id="rId25" Type="http://schemas.openxmlformats.org/officeDocument/2006/relationships/hyperlink" Target="https://platform.openai.com/pricing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amazon.com/Jrystar-Stuffed-Animals-Birthday-Christmas/dp/B0FB369SBS" TargetMode="External"/><Relationship Id="rId2" Type="http://schemas.openxmlformats.org/officeDocument/2006/relationships/hyperlink" Target="https://www.amazon.com/GeeekPi-Raspberry-1024x600-Display-Portable/dp/B0CHRD7CQ3" TargetMode="External"/><Relationship Id="rId3" Type="http://schemas.openxmlformats.org/officeDocument/2006/relationships/hyperlink" Target="https://www.amazon.com/EG-STARTS-Buttons-Illuminated-Machine/dp/B01LZMANZ7" TargetMode="External"/><Relationship Id="rId4" Type="http://schemas.openxmlformats.org/officeDocument/2006/relationships/hyperlink" Target="https://www.sparkfun.com/hamburger-mini-speaker.html" TargetMode="External"/><Relationship Id="rId5" Type="http://schemas.openxmlformats.org/officeDocument/2006/relationships/hyperlink" Target="https://www.amazon.com/UGREEN-Adapter-Ethernet-Compatible-Raspberry/dp/B06WWQ7KLV" TargetMode="External"/><Relationship Id="rId6" Type="http://schemas.openxmlformats.org/officeDocument/2006/relationships/hyperlink" Target="https://www.amazon.com/Elegoo-EL-CP-004-Multicolored-Breadboard-arduino/dp/B01EV70C78" TargetMode="External"/><Relationship Id="rId7" Type="http://schemas.openxmlformats.org/officeDocument/2006/relationships/hyperlink" Target="https://www.amazon.com/CableCreation-Auxiliary-Compatible-Headphones-iPhones/dp/B01K3WX4FW" TargetMode="External"/><Relationship Id="rId8" Type="http://schemas.openxmlformats.org/officeDocument/2006/relationships/hyperlink" Target="https://www.adafruit.com/product/5819" TargetMode="External"/><Relationship Id="rId9" Type="http://schemas.openxmlformats.org/officeDocument/2006/relationships/hyperlink" Target="https://www.amazon.com/AuviPal-Degree-Adapter-Extender-Notebook/dp/B0B8X6H96S" TargetMode="External"/><Relationship Id="rId10" Type="http://schemas.openxmlformats.org/officeDocument/2006/relationships/hyperlink" Target="https://www.amazon.com/stores/Woiworco/page/FCE447E1-D52B-4B71-BF59-71E094730E17" TargetMode="External"/><Relationship Id="rId11" Type="http://schemas.openxmlformats.org/officeDocument/2006/relationships/hyperlink" Target="https://www.amazon.com/Amazon-Basics-Protector-Extension-Protection/dp/B00TP1C51M" TargetMode="External"/><Relationship Id="rId12" Type="http://schemas.openxmlformats.org/officeDocument/2006/relationships/hyperlink" Target="https://platform.openai.com/prici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60"/>
    <col collapsed="false" customWidth="true" hidden="false" outlineLevel="0" max="11" min="10" style="0" width="12"/>
    <col collapsed="false" customWidth="true" hidden="false" outlineLevel="0" max="12" min="12" style="0" width="50"/>
    <col collapsed="false" customWidth="true" hidden="false" outlineLevel="0" max="13" min="13" style="0" width="5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39.75" hidden="false" customHeight="true" outlineLevel="0" collapsed="false">
      <c r="A5" s="4" t="n">
        <v>1</v>
      </c>
      <c r="B5" s="5" t="s">
        <v>15</v>
      </c>
      <c r="C5" s="4" t="n">
        <v>1</v>
      </c>
      <c r="D5" s="5" t="s">
        <v>16</v>
      </c>
      <c r="E5" s="5" t="s">
        <v>17</v>
      </c>
      <c r="F5" s="6" t="n">
        <v>25</v>
      </c>
      <c r="G5" s="6" t="n">
        <f aca="false">C5*F5</f>
        <v>25</v>
      </c>
      <c r="H5" s="5" t="s">
        <v>18</v>
      </c>
      <c r="I5" s="7" t="s">
        <v>19</v>
      </c>
      <c r="J5" s="4" t="s">
        <v>20</v>
      </c>
      <c r="K5" s="4" t="s">
        <v>21</v>
      </c>
      <c r="L5" s="8" t="s">
        <v>22</v>
      </c>
      <c r="M5" s="8" t="s">
        <v>23</v>
      </c>
    </row>
    <row r="6" customFormat="false" ht="39.75" hidden="false" customHeight="true" outlineLevel="0" collapsed="false">
      <c r="A6" s="9" t="n">
        <v>1</v>
      </c>
      <c r="B6" s="10" t="s">
        <v>15</v>
      </c>
      <c r="C6" s="9" t="n">
        <v>1</v>
      </c>
      <c r="D6" s="11" t="s">
        <v>24</v>
      </c>
      <c r="E6" s="10" t="s">
        <v>25</v>
      </c>
      <c r="F6" s="12" t="n">
        <v>32</v>
      </c>
      <c r="G6" s="12" t="n">
        <f aca="false">C6*F6</f>
        <v>32</v>
      </c>
      <c r="H6" s="10" t="s">
        <v>18</v>
      </c>
      <c r="I6" s="13" t="s">
        <v>26</v>
      </c>
      <c r="J6" s="9" t="s">
        <v>20</v>
      </c>
      <c r="K6" s="9" t="s">
        <v>21</v>
      </c>
      <c r="L6" s="14" t="s">
        <v>27</v>
      </c>
      <c r="M6" s="14" t="s">
        <v>28</v>
      </c>
    </row>
    <row r="7" customFormat="false" ht="39.75" hidden="false" customHeight="true" outlineLevel="0" collapsed="false">
      <c r="A7" s="4" t="n">
        <v>1</v>
      </c>
      <c r="B7" s="5" t="s">
        <v>15</v>
      </c>
      <c r="C7" s="4" t="n">
        <v>1</v>
      </c>
      <c r="D7" s="5" t="s">
        <v>29</v>
      </c>
      <c r="E7" s="5" t="s">
        <v>30</v>
      </c>
      <c r="F7" s="6" t="n">
        <v>30</v>
      </c>
      <c r="G7" s="6" t="n">
        <f aca="false">C7*F7</f>
        <v>30</v>
      </c>
      <c r="H7" s="5" t="s">
        <v>31</v>
      </c>
      <c r="I7" s="7" t="s">
        <v>32</v>
      </c>
      <c r="J7" s="4" t="s">
        <v>20</v>
      </c>
      <c r="K7" s="4" t="s">
        <v>21</v>
      </c>
      <c r="L7" s="8" t="s">
        <v>33</v>
      </c>
      <c r="M7" s="8" t="s">
        <v>34</v>
      </c>
    </row>
    <row r="8" customFormat="false" ht="39.75" hidden="false" customHeight="true" outlineLevel="0" collapsed="false">
      <c r="A8" s="15" t="n">
        <v>2</v>
      </c>
      <c r="B8" s="16" t="s">
        <v>35</v>
      </c>
      <c r="C8" s="15" t="n">
        <v>1</v>
      </c>
      <c r="D8" s="16" t="s">
        <v>16</v>
      </c>
      <c r="E8" s="16" t="s">
        <v>36</v>
      </c>
      <c r="F8" s="17" t="n">
        <v>30</v>
      </c>
      <c r="G8" s="17" t="n">
        <f aca="false">C8*F8</f>
        <v>30</v>
      </c>
      <c r="H8" s="16" t="s">
        <v>18</v>
      </c>
      <c r="I8" s="18" t="s">
        <v>37</v>
      </c>
      <c r="J8" s="15" t="s">
        <v>21</v>
      </c>
      <c r="K8" s="15" t="s">
        <v>21</v>
      </c>
      <c r="L8" s="19" t="s">
        <v>38</v>
      </c>
      <c r="M8" s="19" t="s">
        <v>39</v>
      </c>
    </row>
    <row r="9" customFormat="false" ht="39.75" hidden="false" customHeight="true" outlineLevel="0" collapsed="false">
      <c r="A9" s="9" t="n">
        <v>2</v>
      </c>
      <c r="B9" s="10" t="s">
        <v>35</v>
      </c>
      <c r="C9" s="9" t="n">
        <v>1</v>
      </c>
      <c r="D9" s="11" t="s">
        <v>40</v>
      </c>
      <c r="E9" s="10" t="s">
        <v>41</v>
      </c>
      <c r="F9" s="12" t="n">
        <v>36</v>
      </c>
      <c r="G9" s="12" t="n">
        <f aca="false">C9*F9</f>
        <v>36</v>
      </c>
      <c r="H9" s="10" t="s">
        <v>18</v>
      </c>
      <c r="I9" s="13" t="s">
        <v>42</v>
      </c>
      <c r="J9" s="9" t="s">
        <v>21</v>
      </c>
      <c r="K9" s="9" t="s">
        <v>21</v>
      </c>
      <c r="L9" s="14" t="s">
        <v>43</v>
      </c>
      <c r="M9" s="14" t="s">
        <v>44</v>
      </c>
    </row>
    <row r="10" customFormat="false" ht="39.75" hidden="false" customHeight="true" outlineLevel="0" collapsed="false">
      <c r="A10" s="9" t="n">
        <v>3</v>
      </c>
      <c r="B10" s="10" t="s">
        <v>45</v>
      </c>
      <c r="C10" s="9" t="n">
        <v>2</v>
      </c>
      <c r="D10" s="11" t="s">
        <v>40</v>
      </c>
      <c r="E10" s="10" t="s">
        <v>46</v>
      </c>
      <c r="F10" s="12" t="n">
        <v>10</v>
      </c>
      <c r="G10" s="12" t="n">
        <f aca="false">C10*F10</f>
        <v>20</v>
      </c>
      <c r="H10" s="10" t="s">
        <v>18</v>
      </c>
      <c r="I10" s="13" t="s">
        <v>47</v>
      </c>
      <c r="J10" s="9" t="s">
        <v>21</v>
      </c>
      <c r="K10" s="9" t="s">
        <v>21</v>
      </c>
      <c r="L10" s="14" t="s">
        <v>48</v>
      </c>
      <c r="M10" s="14" t="s">
        <v>49</v>
      </c>
    </row>
    <row r="11" customFormat="false" ht="39.75" hidden="false" customHeight="true" outlineLevel="0" collapsed="false">
      <c r="A11" s="4" t="n">
        <v>3</v>
      </c>
      <c r="B11" s="5" t="s">
        <v>45</v>
      </c>
      <c r="C11" s="4" t="n">
        <v>2</v>
      </c>
      <c r="D11" s="5" t="s">
        <v>50</v>
      </c>
      <c r="E11" s="5" t="s">
        <v>51</v>
      </c>
      <c r="F11" s="6" t="n">
        <v>8</v>
      </c>
      <c r="G11" s="6" t="n">
        <f aca="false">C11*F11</f>
        <v>16</v>
      </c>
      <c r="H11" s="5" t="s">
        <v>18</v>
      </c>
      <c r="I11" s="7" t="s">
        <v>52</v>
      </c>
      <c r="J11" s="4" t="s">
        <v>21</v>
      </c>
      <c r="K11" s="4" t="s">
        <v>21</v>
      </c>
      <c r="L11" s="8" t="s">
        <v>53</v>
      </c>
      <c r="M11" s="8" t="s">
        <v>54</v>
      </c>
    </row>
    <row r="12" customFormat="false" ht="39.75" hidden="false" customHeight="true" outlineLevel="0" collapsed="false">
      <c r="A12" s="15" t="n">
        <v>3</v>
      </c>
      <c r="B12" s="16" t="s">
        <v>45</v>
      </c>
      <c r="C12" s="15" t="n">
        <v>2</v>
      </c>
      <c r="D12" s="16" t="s">
        <v>55</v>
      </c>
      <c r="E12" s="16" t="s">
        <v>56</v>
      </c>
      <c r="F12" s="17" t="n">
        <v>9.95</v>
      </c>
      <c r="G12" s="17" t="n">
        <f aca="false">C12*F12</f>
        <v>19.9</v>
      </c>
      <c r="H12" s="16" t="s">
        <v>57</v>
      </c>
      <c r="I12" s="18" t="s">
        <v>58</v>
      </c>
      <c r="J12" s="15" t="s">
        <v>21</v>
      </c>
      <c r="K12" s="15" t="s">
        <v>59</v>
      </c>
      <c r="L12" s="19" t="s">
        <v>60</v>
      </c>
      <c r="M12" s="19" t="s">
        <v>61</v>
      </c>
    </row>
    <row r="13" customFormat="false" ht="39.75" hidden="false" customHeight="true" outlineLevel="0" collapsed="false">
      <c r="A13" s="4" t="n">
        <v>4</v>
      </c>
      <c r="B13" s="5" t="s">
        <v>62</v>
      </c>
      <c r="C13" s="4" t="n">
        <v>1</v>
      </c>
      <c r="D13" s="5" t="s">
        <v>16</v>
      </c>
      <c r="E13" s="5" t="s">
        <v>63</v>
      </c>
      <c r="F13" s="6" t="n">
        <v>7.95</v>
      </c>
      <c r="G13" s="6" t="n">
        <f aca="false">C13*F13</f>
        <v>7.95</v>
      </c>
      <c r="H13" s="5" t="s">
        <v>64</v>
      </c>
      <c r="I13" s="7" t="s">
        <v>65</v>
      </c>
      <c r="J13" s="4" t="s">
        <v>21</v>
      </c>
      <c r="K13" s="4" t="s">
        <v>21</v>
      </c>
      <c r="L13" s="8" t="s">
        <v>66</v>
      </c>
      <c r="M13" s="8" t="s">
        <v>67</v>
      </c>
    </row>
    <row r="14" customFormat="false" ht="39.75" hidden="false" customHeight="true" outlineLevel="0" collapsed="false">
      <c r="A14" s="9" t="n">
        <v>4</v>
      </c>
      <c r="B14" s="10" t="s">
        <v>62</v>
      </c>
      <c r="C14" s="9" t="n">
        <v>1</v>
      </c>
      <c r="D14" s="11" t="s">
        <v>24</v>
      </c>
      <c r="E14" s="10" t="s">
        <v>68</v>
      </c>
      <c r="F14" s="12" t="n">
        <v>9.95</v>
      </c>
      <c r="G14" s="12" t="n">
        <f aca="false">C14*F14</f>
        <v>9.95</v>
      </c>
      <c r="H14" s="10" t="s">
        <v>57</v>
      </c>
      <c r="I14" s="13" t="s">
        <v>69</v>
      </c>
      <c r="J14" s="9" t="s">
        <v>21</v>
      </c>
      <c r="K14" s="9" t="s">
        <v>70</v>
      </c>
      <c r="L14" s="14" t="s">
        <v>71</v>
      </c>
      <c r="M14" s="14" t="s">
        <v>72</v>
      </c>
    </row>
    <row r="15" customFormat="false" ht="39.75" hidden="false" customHeight="true" outlineLevel="0" collapsed="false">
      <c r="A15" s="4" t="n">
        <v>5</v>
      </c>
      <c r="B15" s="5" t="s">
        <v>73</v>
      </c>
      <c r="C15" s="4" t="n">
        <v>1</v>
      </c>
      <c r="D15" s="5" t="s">
        <v>16</v>
      </c>
      <c r="E15" s="5" t="s">
        <v>74</v>
      </c>
      <c r="F15" s="6" t="n">
        <v>6</v>
      </c>
      <c r="G15" s="6" t="n">
        <f aca="false">C15*F15</f>
        <v>6</v>
      </c>
      <c r="H15" s="5" t="s">
        <v>18</v>
      </c>
      <c r="I15" s="7" t="s">
        <v>75</v>
      </c>
      <c r="J15" s="4" t="s">
        <v>21</v>
      </c>
      <c r="K15" s="4" t="s">
        <v>21</v>
      </c>
      <c r="L15" s="8" t="s">
        <v>76</v>
      </c>
      <c r="M15" s="8" t="s">
        <v>77</v>
      </c>
    </row>
    <row r="16" customFormat="false" ht="39.75" hidden="false" customHeight="true" outlineLevel="0" collapsed="false">
      <c r="A16" s="9" t="n">
        <v>5</v>
      </c>
      <c r="B16" s="10" t="s">
        <v>73</v>
      </c>
      <c r="C16" s="9" t="n">
        <v>1</v>
      </c>
      <c r="D16" s="11" t="s">
        <v>24</v>
      </c>
      <c r="E16" s="10" t="s">
        <v>78</v>
      </c>
      <c r="F16" s="12" t="n">
        <v>9</v>
      </c>
      <c r="G16" s="12" t="n">
        <f aca="false">C16*F16</f>
        <v>9</v>
      </c>
      <c r="H16" s="10" t="s">
        <v>18</v>
      </c>
      <c r="I16" s="13" t="s">
        <v>79</v>
      </c>
      <c r="J16" s="9" t="s">
        <v>21</v>
      </c>
      <c r="K16" s="9" t="s">
        <v>21</v>
      </c>
      <c r="L16" s="14" t="s">
        <v>80</v>
      </c>
      <c r="M16" s="14" t="s">
        <v>81</v>
      </c>
    </row>
    <row r="17" customFormat="false" ht="39.75" hidden="false" customHeight="true" outlineLevel="0" collapsed="false">
      <c r="A17" s="9" t="n">
        <v>6</v>
      </c>
      <c r="B17" s="10" t="s">
        <v>82</v>
      </c>
      <c r="C17" s="9" t="n">
        <v>1</v>
      </c>
      <c r="D17" s="11" t="s">
        <v>40</v>
      </c>
      <c r="E17" s="10" t="s">
        <v>83</v>
      </c>
      <c r="F17" s="12" t="n">
        <v>7</v>
      </c>
      <c r="G17" s="12" t="n">
        <f aca="false">C17*F17</f>
        <v>7</v>
      </c>
      <c r="H17" s="10" t="s">
        <v>18</v>
      </c>
      <c r="I17" s="13" t="s">
        <v>84</v>
      </c>
      <c r="J17" s="9" t="s">
        <v>21</v>
      </c>
      <c r="K17" s="9" t="s">
        <v>21</v>
      </c>
      <c r="L17" s="14" t="s">
        <v>85</v>
      </c>
      <c r="M17" s="14" t="s">
        <v>86</v>
      </c>
    </row>
    <row r="18" customFormat="false" ht="39.75" hidden="false" customHeight="true" outlineLevel="0" collapsed="false">
      <c r="A18" s="15" t="n">
        <v>6</v>
      </c>
      <c r="B18" s="16" t="s">
        <v>82</v>
      </c>
      <c r="C18" s="15" t="n">
        <v>1</v>
      </c>
      <c r="D18" s="16" t="s">
        <v>87</v>
      </c>
      <c r="E18" s="16" t="s">
        <v>88</v>
      </c>
      <c r="F18" s="17" t="n">
        <v>3.95</v>
      </c>
      <c r="G18" s="17" t="n">
        <f aca="false">C18*F18</f>
        <v>3.95</v>
      </c>
      <c r="H18" s="16" t="s">
        <v>57</v>
      </c>
      <c r="I18" s="18" t="s">
        <v>89</v>
      </c>
      <c r="J18" s="15" t="s">
        <v>21</v>
      </c>
      <c r="K18" s="15" t="s">
        <v>21</v>
      </c>
      <c r="L18" s="19" t="s">
        <v>90</v>
      </c>
      <c r="M18" s="19" t="s">
        <v>91</v>
      </c>
    </row>
    <row r="19" customFormat="false" ht="39.75" hidden="false" customHeight="true" outlineLevel="0" collapsed="false">
      <c r="A19" s="4" t="n">
        <v>7</v>
      </c>
      <c r="B19" s="5" t="s">
        <v>92</v>
      </c>
      <c r="C19" s="4" t="n">
        <v>1</v>
      </c>
      <c r="D19" s="5" t="s">
        <v>16</v>
      </c>
      <c r="E19" s="5" t="s">
        <v>93</v>
      </c>
      <c r="F19" s="6" t="n">
        <v>3</v>
      </c>
      <c r="G19" s="6" t="n">
        <f aca="false">C19*F19</f>
        <v>3</v>
      </c>
      <c r="H19" s="5" t="s">
        <v>18</v>
      </c>
      <c r="I19" s="7" t="s">
        <v>94</v>
      </c>
      <c r="J19" s="4" t="s">
        <v>20</v>
      </c>
      <c r="K19" s="4" t="s">
        <v>21</v>
      </c>
      <c r="L19" s="8" t="s">
        <v>95</v>
      </c>
      <c r="M19" s="8" t="s">
        <v>96</v>
      </c>
    </row>
    <row r="20" customFormat="false" ht="39.75" hidden="false" customHeight="true" outlineLevel="0" collapsed="false">
      <c r="A20" s="9" t="n">
        <v>7</v>
      </c>
      <c r="B20" s="10" t="s">
        <v>92</v>
      </c>
      <c r="C20" s="9" t="n">
        <v>1</v>
      </c>
      <c r="D20" s="11" t="s">
        <v>24</v>
      </c>
      <c r="E20" s="10" t="s">
        <v>97</v>
      </c>
      <c r="F20" s="12" t="n">
        <v>5</v>
      </c>
      <c r="G20" s="12" t="n">
        <f aca="false">C20*F20</f>
        <v>5</v>
      </c>
      <c r="H20" s="10" t="s">
        <v>18</v>
      </c>
      <c r="I20" s="13" t="s">
        <v>98</v>
      </c>
      <c r="J20" s="9" t="s">
        <v>20</v>
      </c>
      <c r="K20" s="9" t="s">
        <v>21</v>
      </c>
      <c r="L20" s="14" t="s">
        <v>99</v>
      </c>
      <c r="M20" s="14" t="s">
        <v>100</v>
      </c>
    </row>
    <row r="21" customFormat="false" ht="39.75" hidden="false" customHeight="true" outlineLevel="0" collapsed="false">
      <c r="A21" s="9" t="n">
        <v>8</v>
      </c>
      <c r="B21" s="10" t="s">
        <v>101</v>
      </c>
      <c r="C21" s="9" t="n">
        <v>1</v>
      </c>
      <c r="D21" s="11" t="s">
        <v>40</v>
      </c>
      <c r="E21" s="10" t="s">
        <v>102</v>
      </c>
      <c r="F21" s="12" t="n">
        <v>3.16</v>
      </c>
      <c r="G21" s="12" t="n">
        <f aca="false">C21*F21</f>
        <v>3.16</v>
      </c>
      <c r="H21" s="10" t="s">
        <v>57</v>
      </c>
      <c r="I21" s="13" t="s">
        <v>103</v>
      </c>
      <c r="J21" s="9" t="s">
        <v>21</v>
      </c>
      <c r="K21" s="9" t="s">
        <v>104</v>
      </c>
      <c r="L21" s="14" t="s">
        <v>105</v>
      </c>
      <c r="M21" s="20" t="s">
        <v>106</v>
      </c>
    </row>
    <row r="22" customFormat="false" ht="39.75" hidden="false" customHeight="true" outlineLevel="0" collapsed="false">
      <c r="A22" s="15" t="n">
        <v>8</v>
      </c>
      <c r="B22" s="16" t="s">
        <v>101</v>
      </c>
      <c r="C22" s="15" t="n">
        <v>1</v>
      </c>
      <c r="D22" s="16" t="s">
        <v>107</v>
      </c>
      <c r="E22" s="16" t="s">
        <v>108</v>
      </c>
      <c r="F22" s="17" t="n">
        <v>2.5</v>
      </c>
      <c r="G22" s="17" t="n">
        <f aca="false">C22*F22</f>
        <v>2.5</v>
      </c>
      <c r="H22" s="16" t="s">
        <v>57</v>
      </c>
      <c r="I22" s="18" t="s">
        <v>109</v>
      </c>
      <c r="J22" s="15" t="s">
        <v>21</v>
      </c>
      <c r="K22" s="15" t="s">
        <v>21</v>
      </c>
      <c r="L22" s="19" t="s">
        <v>110</v>
      </c>
      <c r="M22" s="19" t="s">
        <v>111</v>
      </c>
    </row>
    <row r="23" customFormat="false" ht="39.75" hidden="false" customHeight="true" outlineLevel="0" collapsed="false">
      <c r="A23" s="4" t="n">
        <v>8</v>
      </c>
      <c r="B23" s="5" t="s">
        <v>101</v>
      </c>
      <c r="C23" s="4" t="n">
        <v>1</v>
      </c>
      <c r="D23" s="5" t="s">
        <v>112</v>
      </c>
      <c r="E23" s="5" t="s">
        <v>113</v>
      </c>
      <c r="F23" s="6" t="n">
        <v>6</v>
      </c>
      <c r="G23" s="6" t="n">
        <f aca="false">C23*F23</f>
        <v>6</v>
      </c>
      <c r="H23" s="5" t="s">
        <v>18</v>
      </c>
      <c r="I23" s="7" t="s">
        <v>114</v>
      </c>
      <c r="J23" s="4" t="s">
        <v>21</v>
      </c>
      <c r="K23" s="4" t="s">
        <v>21</v>
      </c>
      <c r="L23" s="8" t="s">
        <v>115</v>
      </c>
      <c r="M23" s="8" t="s">
        <v>116</v>
      </c>
    </row>
    <row r="24" customFormat="false" ht="39.75" hidden="false" customHeight="true" outlineLevel="0" collapsed="false">
      <c r="A24" s="9" t="n">
        <v>9</v>
      </c>
      <c r="B24" s="10" t="s">
        <v>117</v>
      </c>
      <c r="C24" s="9" t="n">
        <v>1</v>
      </c>
      <c r="D24" s="11" t="s">
        <v>40</v>
      </c>
      <c r="E24" s="10" t="s">
        <v>118</v>
      </c>
      <c r="F24" s="12" t="n">
        <v>9</v>
      </c>
      <c r="G24" s="12" t="n">
        <f aca="false">C24*F24</f>
        <v>9</v>
      </c>
      <c r="H24" s="10" t="s">
        <v>18</v>
      </c>
      <c r="I24" s="13" t="s">
        <v>119</v>
      </c>
      <c r="J24" s="9" t="s">
        <v>21</v>
      </c>
      <c r="K24" s="9" t="s">
        <v>21</v>
      </c>
      <c r="L24" s="14" t="s">
        <v>120</v>
      </c>
      <c r="M24" s="14" t="s">
        <v>121</v>
      </c>
    </row>
    <row r="25" customFormat="false" ht="39.75" hidden="false" customHeight="true" outlineLevel="0" collapsed="false">
      <c r="A25" s="4" t="n">
        <v>9</v>
      </c>
      <c r="B25" s="5" t="s">
        <v>117</v>
      </c>
      <c r="C25" s="4" t="n">
        <v>1</v>
      </c>
      <c r="D25" s="5" t="s">
        <v>16</v>
      </c>
      <c r="E25" s="5" t="s">
        <v>122</v>
      </c>
      <c r="F25" s="6" t="n">
        <v>7</v>
      </c>
      <c r="G25" s="6" t="n">
        <f aca="false">C25*F25</f>
        <v>7</v>
      </c>
      <c r="H25" s="5" t="s">
        <v>18</v>
      </c>
      <c r="I25" s="7" t="s">
        <v>123</v>
      </c>
      <c r="J25" s="4" t="s">
        <v>21</v>
      </c>
      <c r="K25" s="4" t="s">
        <v>21</v>
      </c>
      <c r="L25" s="8" t="s">
        <v>124</v>
      </c>
      <c r="M25" s="8" t="s">
        <v>125</v>
      </c>
    </row>
    <row r="26" customFormat="false" ht="39.75" hidden="false" customHeight="true" outlineLevel="0" collapsed="false">
      <c r="A26" s="9" t="n">
        <v>10</v>
      </c>
      <c r="B26" s="10" t="s">
        <v>126</v>
      </c>
      <c r="C26" s="9" t="n">
        <v>1</v>
      </c>
      <c r="D26" s="11" t="s">
        <v>40</v>
      </c>
      <c r="E26" s="10" t="s">
        <v>127</v>
      </c>
      <c r="F26" s="12" t="n">
        <v>12</v>
      </c>
      <c r="G26" s="12" t="n">
        <f aca="false">C26*F26</f>
        <v>12</v>
      </c>
      <c r="H26" s="10" t="s">
        <v>18</v>
      </c>
      <c r="I26" s="13" t="s">
        <v>128</v>
      </c>
      <c r="J26" s="9" t="s">
        <v>20</v>
      </c>
      <c r="K26" s="9" t="s">
        <v>21</v>
      </c>
      <c r="L26" s="14" t="s">
        <v>129</v>
      </c>
      <c r="M26" s="14" t="s">
        <v>130</v>
      </c>
    </row>
    <row r="27" customFormat="false" ht="39.75" hidden="false" customHeight="true" outlineLevel="0" collapsed="false">
      <c r="A27" s="4" t="n">
        <v>10</v>
      </c>
      <c r="B27" s="5" t="s">
        <v>126</v>
      </c>
      <c r="C27" s="4" t="n">
        <v>1</v>
      </c>
      <c r="D27" s="5" t="s">
        <v>16</v>
      </c>
      <c r="E27" s="5" t="s">
        <v>131</v>
      </c>
      <c r="F27" s="6" t="n">
        <v>8</v>
      </c>
      <c r="G27" s="6" t="n">
        <f aca="false">C27*F27</f>
        <v>8</v>
      </c>
      <c r="H27" s="5" t="s">
        <v>18</v>
      </c>
      <c r="I27" s="7" t="s">
        <v>132</v>
      </c>
      <c r="J27" s="4" t="s">
        <v>20</v>
      </c>
      <c r="K27" s="4" t="s">
        <v>21</v>
      </c>
      <c r="L27" s="8" t="s">
        <v>133</v>
      </c>
      <c r="M27" s="21" t="s">
        <v>134</v>
      </c>
    </row>
    <row r="28" customFormat="false" ht="39.75" hidden="false" customHeight="true" outlineLevel="0" collapsed="false">
      <c r="A28" s="9" t="n">
        <v>11</v>
      </c>
      <c r="B28" s="10" t="s">
        <v>135</v>
      </c>
      <c r="C28" s="9" t="n">
        <v>1</v>
      </c>
      <c r="D28" s="11" t="s">
        <v>40</v>
      </c>
      <c r="E28" s="10" t="s">
        <v>136</v>
      </c>
      <c r="F28" s="12" t="n">
        <v>10</v>
      </c>
      <c r="G28" s="12" t="n">
        <f aca="false">C28*F28</f>
        <v>10</v>
      </c>
      <c r="H28" s="10" t="s">
        <v>18</v>
      </c>
      <c r="I28" s="13" t="s">
        <v>137</v>
      </c>
      <c r="J28" s="9" t="s">
        <v>20</v>
      </c>
      <c r="K28" s="9" t="s">
        <v>21</v>
      </c>
      <c r="L28" s="14" t="s">
        <v>138</v>
      </c>
      <c r="M28" s="14" t="s">
        <v>139</v>
      </c>
    </row>
    <row r="29" customFormat="false" ht="39.75" hidden="false" customHeight="true" outlineLevel="0" collapsed="false">
      <c r="A29" s="4" t="n">
        <v>12</v>
      </c>
      <c r="B29" s="5" t="s">
        <v>140</v>
      </c>
      <c r="C29" s="4" t="n">
        <v>1</v>
      </c>
      <c r="D29" s="5" t="s">
        <v>141</v>
      </c>
      <c r="E29" s="5" t="s">
        <v>142</v>
      </c>
      <c r="F29" s="6" t="n">
        <v>3</v>
      </c>
      <c r="G29" s="6" t="n">
        <f aca="false">C29*F29</f>
        <v>3</v>
      </c>
      <c r="H29" s="5" t="s">
        <v>143</v>
      </c>
      <c r="I29" s="7" t="s">
        <v>144</v>
      </c>
      <c r="J29" s="4" t="s">
        <v>20</v>
      </c>
      <c r="K29" s="4" t="s">
        <v>20</v>
      </c>
      <c r="L29" s="8" t="s">
        <v>145</v>
      </c>
      <c r="M29" s="8" t="s">
        <v>146</v>
      </c>
    </row>
  </sheetData>
  <mergeCells count="2">
    <mergeCell ref="A1:M1"/>
    <mergeCell ref="A2:M2"/>
  </mergeCells>
  <hyperlinks>
    <hyperlink ref="I5" r:id="rId1" display="https://www.amazon.com/Jrystar-Stuffed-Animals-Birthday-Christmas/dp/B0FB369SBS"/>
    <hyperlink ref="I6" r:id="rId2" display="https://www.amazon.com/Jay-Franco-Weighted-Sesame-Street/dp/B0DJC7WLXW"/>
    <hyperlink ref="I7" r:id="rId3" display="https://www.walmart.com/ip/Sesame-Street-Fuzzy-Big-Bird-Plush-Pillow-Buddy-Kids-Super-Soft-Stuffed-Pillow/13327818538"/>
    <hyperlink ref="I8" r:id="rId4" display="https://www.amazon.com/HMTECH-Raspberry-Pi-Monitor-Non-Touch/dp/B09MFNLRQQ"/>
    <hyperlink ref="I9" r:id="rId5" display="https://www.amazon.com/GeeekPi-Raspberry-1024x600-Display-Portable/dp/B0CHRD7CQ3"/>
    <hyperlink ref="I10" r:id="rId6" display="https://www.amazon.com/EG-STARTS-Buttons-Illuminated-Machine/dp/B01LZMANZ7"/>
    <hyperlink ref="I11" r:id="rId7" display="https://www.amazon.com/Easyget-Shaped-Illuminated-Self-resetting-Projects/dp/B00XRC9URW"/>
    <hyperlink ref="I12" r:id="rId8" display="https://www.adafruit.com/product/1185"/>
    <hyperlink ref="I13" r:id="rId9" display="https://www.sparkfun.com/hamburger-mini-speaker.html"/>
    <hyperlink ref="I14" r:id="rId10" display="https://www.adafruit.com/product/1363"/>
    <hyperlink ref="I15" r:id="rId11" display="https://www.amazon.com/Micro-Cable-Anbear-Support-Compatible/dp/B088RB2QG9"/>
    <hyperlink ref="I16" r:id="rId12" display="https://www.amazon.com/UGREEN-Adapter-Ethernet-Compatible-Raspberry/dp/B06WWQ7KLV"/>
    <hyperlink ref="I17" r:id="rId13" display="https://www.amazon.com/Elegoo-EL-CP-004-Multicolored-Breadboard-arduino/dp/B01EV70C78"/>
    <hyperlink ref="I18" r:id="rId14" display="https://www.adafruit.com/product/793"/>
    <hyperlink ref="I19" r:id="rId15" display="https://www.amazon.com/YCS-Basics-Stereo-Headphone-Smartphone/dp/B00A6VYPFE"/>
    <hyperlink ref="I20" r:id="rId16" display="https://www.amazon.com/CableCreation-Auxiliary-Compatible-Headphones-iPhones/dp/B01K3WX4FW"/>
    <hyperlink ref="I21" r:id="rId17" display="https://www.adafruit.com/product/5819"/>
    <hyperlink ref="I22" r:id="rId18" display="https://www.adafruit.com/product/5820"/>
    <hyperlink ref="I23" r:id="rId19" display="https://www.amazon.com/waveshare-Flexible-Raspberry-Suitable-Modules/dp/B0D49FTZG5"/>
    <hyperlink ref="I24" r:id="rId20" display="https://www.amazon.com/AuviPal-Degree-Adapter-Extender-Notebook/dp/B0B8X6H96S"/>
    <hyperlink ref="I25" r:id="rId21" display="https://www.amazon.com/URWOOW-L-Shape-Degree-Adapter-Extension/dp/B07JGYBCT1"/>
    <hyperlink ref="I26" r:id="rId22" display="https://www.amazon.com/stores/Woiworco/page/FCE447E1-D52B-4B71-BF59-71E094730E17"/>
    <hyperlink ref="I27" r:id="rId23" display="https://www.amazon.com/Creative-Hobbies-Unfinished-Wood-Craft/dp/B08TKD4Y83"/>
    <hyperlink ref="I28" r:id="rId24" display="https://www.amazon.com/Amazon-Basics-Protector-Extension-Protection/dp/B00TP1C51M"/>
    <hyperlink ref="I29" r:id="rId25" display="https://platform.openai.com/pric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60"/>
    <col collapsed="false" customWidth="true" hidden="false" outlineLevel="0" max="11" min="10" style="0" width="12"/>
    <col collapsed="false" customWidth="true" hidden="false" outlineLevel="0" max="12" min="12" style="0" width="50"/>
    <col collapsed="false" customWidth="true" hidden="false" outlineLevel="0" max="13" min="13" style="0" width="55"/>
  </cols>
  <sheetData>
    <row r="1" customFormat="false" ht="17.35" hidden="false" customHeight="false" outlineLevel="0" collapsed="false">
      <c r="A1" s="22" t="s">
        <v>147</v>
      </c>
      <c r="B1" s="22"/>
      <c r="C1" s="22"/>
      <c r="D1" s="22"/>
      <c r="E1" s="22"/>
      <c r="F1" s="22"/>
      <c r="G1" s="22"/>
      <c r="H1" s="22"/>
      <c r="I1" s="22"/>
    </row>
    <row r="3" customFormat="false" ht="26.8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148</v>
      </c>
    </row>
    <row r="4" customFormat="false" ht="34.5" hidden="false" customHeight="true" outlineLevel="0" collapsed="false">
      <c r="A4" s="4" t="n">
        <v>1</v>
      </c>
      <c r="B4" s="5" t="s">
        <v>15</v>
      </c>
      <c r="C4" s="4" t="n">
        <v>1</v>
      </c>
      <c r="D4" s="5" t="s">
        <v>17</v>
      </c>
      <c r="E4" s="6" t="n">
        <v>25</v>
      </c>
      <c r="F4" s="6" t="n">
        <f aca="false">C4*E4</f>
        <v>25</v>
      </c>
      <c r="G4" s="5" t="s">
        <v>18</v>
      </c>
      <c r="H4" s="7" t="s">
        <v>19</v>
      </c>
      <c r="I4" s="8" t="s">
        <v>149</v>
      </c>
    </row>
    <row r="5" customFormat="false" ht="34.5" hidden="false" customHeight="true" outlineLevel="0" collapsed="false">
      <c r="A5" s="15" t="n">
        <v>2</v>
      </c>
      <c r="B5" s="16" t="s">
        <v>35</v>
      </c>
      <c r="C5" s="15" t="n">
        <v>1</v>
      </c>
      <c r="D5" s="16" t="s">
        <v>150</v>
      </c>
      <c r="E5" s="17" t="n">
        <v>36</v>
      </c>
      <c r="F5" s="17" t="n">
        <f aca="false">C5*E5</f>
        <v>36</v>
      </c>
      <c r="G5" s="16" t="s">
        <v>18</v>
      </c>
      <c r="H5" s="18" t="s">
        <v>42</v>
      </c>
      <c r="I5" s="19" t="s">
        <v>151</v>
      </c>
    </row>
    <row r="6" customFormat="false" ht="34.5" hidden="false" customHeight="true" outlineLevel="0" collapsed="false">
      <c r="A6" s="4" t="n">
        <v>3</v>
      </c>
      <c r="B6" s="5" t="s">
        <v>45</v>
      </c>
      <c r="C6" s="4" t="n">
        <v>2</v>
      </c>
      <c r="D6" s="5" t="s">
        <v>152</v>
      </c>
      <c r="E6" s="6" t="n">
        <v>10</v>
      </c>
      <c r="F6" s="6" t="n">
        <f aca="false">C6*E6</f>
        <v>20</v>
      </c>
      <c r="G6" s="5" t="s">
        <v>18</v>
      </c>
      <c r="H6" s="7" t="s">
        <v>47</v>
      </c>
      <c r="I6" s="8" t="s">
        <v>153</v>
      </c>
    </row>
    <row r="7" customFormat="false" ht="34.5" hidden="false" customHeight="true" outlineLevel="0" collapsed="false">
      <c r="A7" s="15" t="n">
        <v>4</v>
      </c>
      <c r="B7" s="16" t="s">
        <v>62</v>
      </c>
      <c r="C7" s="15" t="n">
        <v>1</v>
      </c>
      <c r="D7" s="16" t="s">
        <v>63</v>
      </c>
      <c r="E7" s="17" t="n">
        <v>7.95</v>
      </c>
      <c r="F7" s="17" t="n">
        <f aca="false">C7*E7</f>
        <v>7.95</v>
      </c>
      <c r="G7" s="16" t="s">
        <v>64</v>
      </c>
      <c r="H7" s="18" t="s">
        <v>65</v>
      </c>
      <c r="I7" s="19" t="s">
        <v>154</v>
      </c>
    </row>
    <row r="8" customFormat="false" ht="34.5" hidden="false" customHeight="true" outlineLevel="0" collapsed="false">
      <c r="A8" s="4" t="n">
        <v>5</v>
      </c>
      <c r="B8" s="5" t="s">
        <v>155</v>
      </c>
      <c r="C8" s="4" t="n">
        <v>1</v>
      </c>
      <c r="D8" s="5" t="s">
        <v>156</v>
      </c>
      <c r="E8" s="6" t="n">
        <v>9</v>
      </c>
      <c r="F8" s="6" t="n">
        <f aca="false">C8*E8</f>
        <v>9</v>
      </c>
      <c r="G8" s="5" t="s">
        <v>18</v>
      </c>
      <c r="H8" s="7" t="s">
        <v>79</v>
      </c>
      <c r="I8" s="8" t="s">
        <v>157</v>
      </c>
    </row>
    <row r="9" customFormat="false" ht="34.5" hidden="false" customHeight="true" outlineLevel="0" collapsed="false">
      <c r="A9" s="15" t="n">
        <v>6</v>
      </c>
      <c r="B9" s="16" t="s">
        <v>158</v>
      </c>
      <c r="C9" s="15" t="n">
        <v>1</v>
      </c>
      <c r="D9" s="16" t="s">
        <v>83</v>
      </c>
      <c r="E9" s="17" t="n">
        <v>7</v>
      </c>
      <c r="F9" s="17" t="n">
        <f aca="false">C9*E9</f>
        <v>7</v>
      </c>
      <c r="G9" s="16" t="s">
        <v>18</v>
      </c>
      <c r="H9" s="18" t="s">
        <v>84</v>
      </c>
      <c r="I9" s="19" t="s">
        <v>159</v>
      </c>
    </row>
    <row r="10" customFormat="false" ht="34.5" hidden="false" customHeight="true" outlineLevel="0" collapsed="false">
      <c r="A10" s="4" t="n">
        <v>7</v>
      </c>
      <c r="B10" s="5" t="s">
        <v>92</v>
      </c>
      <c r="C10" s="4" t="n">
        <v>1</v>
      </c>
      <c r="D10" s="5" t="s">
        <v>160</v>
      </c>
      <c r="E10" s="6" t="n">
        <v>5</v>
      </c>
      <c r="F10" s="6" t="n">
        <f aca="false">C10*E10</f>
        <v>5</v>
      </c>
      <c r="G10" s="5" t="s">
        <v>18</v>
      </c>
      <c r="H10" s="7" t="s">
        <v>98</v>
      </c>
      <c r="I10" s="8" t="s">
        <v>161</v>
      </c>
    </row>
    <row r="11" customFormat="false" ht="34.5" hidden="false" customHeight="true" outlineLevel="0" collapsed="false">
      <c r="A11" s="15" t="n">
        <v>8</v>
      </c>
      <c r="B11" s="16" t="s">
        <v>162</v>
      </c>
      <c r="C11" s="15" t="n">
        <v>1</v>
      </c>
      <c r="D11" s="16" t="s">
        <v>163</v>
      </c>
      <c r="E11" s="17" t="n">
        <v>3.16</v>
      </c>
      <c r="F11" s="17" t="n">
        <f aca="false">C11*E11</f>
        <v>3.16</v>
      </c>
      <c r="G11" s="16" t="s">
        <v>57</v>
      </c>
      <c r="H11" s="18" t="s">
        <v>103</v>
      </c>
      <c r="I11" s="19" t="s">
        <v>164</v>
      </c>
    </row>
    <row r="12" customFormat="false" ht="34.5" hidden="false" customHeight="true" outlineLevel="0" collapsed="false">
      <c r="A12" s="4" t="n">
        <v>9</v>
      </c>
      <c r="B12" s="5" t="s">
        <v>165</v>
      </c>
      <c r="C12" s="4" t="n">
        <v>1</v>
      </c>
      <c r="D12" s="5" t="s">
        <v>166</v>
      </c>
      <c r="E12" s="6" t="n">
        <v>9</v>
      </c>
      <c r="F12" s="6" t="n">
        <f aca="false">C12*E12</f>
        <v>9</v>
      </c>
      <c r="G12" s="5" t="s">
        <v>18</v>
      </c>
      <c r="H12" s="7" t="s">
        <v>119</v>
      </c>
      <c r="I12" s="8" t="s">
        <v>167</v>
      </c>
    </row>
    <row r="13" customFormat="false" ht="34.5" hidden="false" customHeight="true" outlineLevel="0" collapsed="false">
      <c r="A13" s="15" t="n">
        <v>10</v>
      </c>
      <c r="B13" s="16" t="s">
        <v>168</v>
      </c>
      <c r="C13" s="15" t="n">
        <v>1</v>
      </c>
      <c r="D13" s="16" t="s">
        <v>169</v>
      </c>
      <c r="E13" s="17" t="n">
        <v>12</v>
      </c>
      <c r="F13" s="17" t="n">
        <f aca="false">C13*E13</f>
        <v>12</v>
      </c>
      <c r="G13" s="16" t="s">
        <v>18</v>
      </c>
      <c r="H13" s="18" t="s">
        <v>128</v>
      </c>
      <c r="I13" s="19" t="s">
        <v>170</v>
      </c>
    </row>
    <row r="14" customFormat="false" ht="34.5" hidden="false" customHeight="true" outlineLevel="0" collapsed="false">
      <c r="A14" s="4" t="n">
        <v>11</v>
      </c>
      <c r="B14" s="5" t="s">
        <v>135</v>
      </c>
      <c r="C14" s="4" t="n">
        <v>1</v>
      </c>
      <c r="D14" s="5" t="s">
        <v>171</v>
      </c>
      <c r="E14" s="6" t="n">
        <v>10</v>
      </c>
      <c r="F14" s="6" t="n">
        <f aca="false">C14*E14</f>
        <v>10</v>
      </c>
      <c r="G14" s="5" t="s">
        <v>18</v>
      </c>
      <c r="H14" s="7" t="s">
        <v>137</v>
      </c>
      <c r="I14" s="8" t="s">
        <v>172</v>
      </c>
    </row>
    <row r="15" customFormat="false" ht="34.5" hidden="false" customHeight="true" outlineLevel="0" collapsed="false">
      <c r="A15" s="15" t="n">
        <v>12</v>
      </c>
      <c r="B15" s="16" t="s">
        <v>173</v>
      </c>
      <c r="C15" s="15" t="n">
        <v>1</v>
      </c>
      <c r="D15" s="16" t="s">
        <v>174</v>
      </c>
      <c r="E15" s="17" t="n">
        <v>3</v>
      </c>
      <c r="F15" s="17" t="n">
        <f aca="false">C15*E15</f>
        <v>3</v>
      </c>
      <c r="G15" s="16" t="s">
        <v>143</v>
      </c>
      <c r="H15" s="18" t="s">
        <v>144</v>
      </c>
      <c r="I15" s="19" t="s">
        <v>175</v>
      </c>
    </row>
    <row r="17" customFormat="false" ht="15" hidden="false" customHeight="false" outlineLevel="0" collapsed="false">
      <c r="A17" s="23"/>
      <c r="B17" s="24"/>
      <c r="C17" s="24"/>
      <c r="D17" s="25" t="s">
        <v>176</v>
      </c>
      <c r="E17" s="24"/>
      <c r="F17" s="26" t="n">
        <f aca="false">SUM(F4:F15)</f>
        <v>147.11</v>
      </c>
      <c r="G17" s="24"/>
      <c r="H17" s="24"/>
      <c r="I17" s="24"/>
    </row>
    <row r="18" customFormat="false" ht="15" hidden="false" customHeight="false" outlineLevel="0" collapsed="false">
      <c r="D18" s="27" t="s">
        <v>177</v>
      </c>
      <c r="F18" s="28" t="n">
        <f aca="false">333-F17</f>
        <v>185.89</v>
      </c>
    </row>
  </sheetData>
  <mergeCells count="1">
    <mergeCell ref="A1:I1"/>
  </mergeCells>
  <hyperlinks>
    <hyperlink ref="H4" r:id="rId1" display="https://www.amazon.com/Jrystar-Stuffed-Animals-Birthday-Christmas/dp/B0FB369SBS"/>
    <hyperlink ref="H5" r:id="rId2" display="https://www.amazon.com/GeeekPi-Raspberry-1024x600-Display-Portable/dp/B0CHRD7CQ3"/>
    <hyperlink ref="H6" r:id="rId3" display="https://www.amazon.com/EG-STARTS-Buttons-Illuminated-Machine/dp/B01LZMANZ7"/>
    <hyperlink ref="H7" r:id="rId4" display="https://www.sparkfun.com/hamburger-mini-speaker.html"/>
    <hyperlink ref="H8" r:id="rId5" display="https://www.amazon.com/UGREEN-Adapter-Ethernet-Compatible-Raspberry/dp/B06WWQ7KLV"/>
    <hyperlink ref="H9" r:id="rId6" display="https://www.amazon.com/Elegoo-EL-CP-004-Multicolored-Breadboard-arduino/dp/B01EV70C78"/>
    <hyperlink ref="H10" r:id="rId7" display="https://www.amazon.com/CableCreation-Auxiliary-Compatible-Headphones-iPhones/dp/B01K3WX4FW"/>
    <hyperlink ref="H11" r:id="rId8" display="https://www.adafruit.com/product/5819"/>
    <hyperlink ref="H12" r:id="rId9" display="https://www.amazon.com/AuviPal-Degree-Adapter-Extender-Notebook/dp/B0B8X6H96S"/>
    <hyperlink ref="H13" r:id="rId10" display="https://www.amazon.com/stores/Woiworco/page/FCE447E1-D52B-4B71-BF59-71E094730E17"/>
    <hyperlink ref="H14" r:id="rId11" display="https://www.amazon.com/Amazon-Basics-Protector-Extension-Protection/dp/B00TP1C51M"/>
    <hyperlink ref="H15" r:id="rId12" display="https://platform.openai.com/pric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50"/>
  </cols>
  <sheetData>
    <row r="1" customFormat="false" ht="17.35" hidden="false" customHeight="false" outlineLevel="0" collapsed="false">
      <c r="A1" s="22" t="s">
        <v>178</v>
      </c>
      <c r="B1" s="22"/>
    </row>
    <row r="3" customFormat="false" ht="15" hidden="false" customHeight="false" outlineLevel="0" collapsed="false">
      <c r="A3" s="29" t="s">
        <v>179</v>
      </c>
      <c r="B3" s="29" t="s">
        <v>180</v>
      </c>
    </row>
    <row r="4" customFormat="false" ht="23.85" hidden="false" customHeight="false" outlineLevel="0" collapsed="false">
      <c r="A4" s="5" t="s">
        <v>181</v>
      </c>
      <c r="B4" s="8" t="s">
        <v>182</v>
      </c>
    </row>
    <row r="5" customFormat="false" ht="15" hidden="false" customHeight="false" outlineLevel="0" collapsed="false">
      <c r="A5" s="16" t="s">
        <v>183</v>
      </c>
      <c r="B5" s="19" t="s">
        <v>184</v>
      </c>
    </row>
    <row r="6" customFormat="false" ht="23.85" hidden="false" customHeight="false" outlineLevel="0" collapsed="false">
      <c r="A6" s="5" t="s">
        <v>185</v>
      </c>
      <c r="B6" s="8" t="s">
        <v>186</v>
      </c>
    </row>
    <row r="7" customFormat="false" ht="15" hidden="false" customHeight="false" outlineLevel="0" collapsed="false">
      <c r="A7" s="16" t="s">
        <v>187</v>
      </c>
      <c r="B7" s="19" t="s">
        <v>188</v>
      </c>
    </row>
    <row r="8" customFormat="false" ht="15" hidden="false" customHeight="false" outlineLevel="0" collapsed="false">
      <c r="A8" s="5" t="s">
        <v>189</v>
      </c>
      <c r="B8" s="8" t="s">
        <v>190</v>
      </c>
    </row>
    <row r="9" customFormat="false" ht="23.85" hidden="false" customHeight="false" outlineLevel="0" collapsed="false">
      <c r="A9" s="16" t="s">
        <v>191</v>
      </c>
      <c r="B9" s="19" t="s">
        <v>192</v>
      </c>
    </row>
    <row r="10" customFormat="false" ht="15" hidden="false" customHeight="false" outlineLevel="0" collapsed="false">
      <c r="A10" s="5" t="s">
        <v>193</v>
      </c>
      <c r="B10" s="8" t="s">
        <v>194</v>
      </c>
    </row>
    <row r="11" customFormat="false" ht="15" hidden="false" customHeight="false" outlineLevel="0" collapsed="false">
      <c r="A11" s="16" t="s">
        <v>195</v>
      </c>
      <c r="B11" s="19" t="s">
        <v>196</v>
      </c>
    </row>
    <row r="12" customFormat="false" ht="15" hidden="false" customHeight="false" outlineLevel="0" collapsed="false">
      <c r="A12" s="5" t="s">
        <v>197</v>
      </c>
      <c r="B12" s="8" t="s">
        <v>196</v>
      </c>
    </row>
    <row r="13" customFormat="false" ht="15" hidden="false" customHeight="false" outlineLevel="0" collapsed="false">
      <c r="A13" s="16" t="s">
        <v>198</v>
      </c>
      <c r="B13" s="19" t="s">
        <v>196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2026-03-24T06:42:15Z</dcterms:created>
  <dc:creator>openpyxl</dc:creator>
  <dc:description/>
  <dc:language>en-US</dc:language>
  <cp:lastModifiedBy/>
  <dcterms:modified xsi:type="dcterms:W3CDTF">2026-03-24T06:42:15Z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